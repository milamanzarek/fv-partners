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ms-office.chartex+xml" PartName="/xl/charts/chartEx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office.chartstyle+xml" PartName="/xl/charts/style1.xml"/>
  <Override ContentType="application/vnd.ms-office.chartcolorstyle+xml" PartName="/xl/charts/colors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Key Assumptions" sheetId="2" r:id="rId5"/>
    <sheet state="visible" name="Actuals" sheetId="3" r:id="rId6"/>
    <sheet state="visible" name="Summary" sheetId="4" r:id="rId7"/>
    <sheet state="visible" name="P&amp;L" sheetId="5" r:id="rId8"/>
    <sheet state="visible" name="Customer Control" sheetId="6" r:id="rId9"/>
    <sheet state="visible" name="Dashboard" sheetId="7" r:id="rId10"/>
  </sheets>
  <definedNames/>
  <calcPr/>
</workbook>
</file>

<file path=xl/sharedStrings.xml><?xml version="1.0" encoding="utf-8"?>
<sst xmlns="http://schemas.openxmlformats.org/spreadsheetml/2006/main" count="274" uniqueCount="110">
  <si>
    <t>FP&amp;A / Strategic Finance Platform</t>
  </si>
  <si>
    <r>
      <rPr>
        <rFont val="Inter, Arial"/>
        <color rgb="FF4F46E5"/>
        <sz val="16.0"/>
      </rPr>
      <t>Template</t>
    </r>
    <r>
      <rPr>
        <rFont val="Inter, Arial"/>
        <color rgb="FF4F46E5"/>
        <sz val="18.0"/>
      </rPr>
      <t xml:space="preserve">
</t>
    </r>
    <r>
      <rPr>
        <rFont val="Inter, Arial"/>
        <color rgb="FF312E81"/>
        <sz val="24.0"/>
      </rPr>
      <t>SaaS Financial Model</t>
    </r>
  </si>
  <si>
    <r>
      <rPr>
        <rFont val="Inter, Arial"/>
        <b/>
        <color rgb="FF091E42"/>
        <sz val="12.0"/>
      </rPr>
      <t xml:space="preserve">Get started! 
</t>
    </r>
    <r>
      <rPr>
        <rFont val="Inter, Arial"/>
        <b val="0"/>
        <color rgb="FF091E42"/>
        <sz val="12.0"/>
      </rPr>
      <t xml:space="preserve">This B2B SaaS financial model template helps you forecast your company's future performance using a connected driver-based model. 
The template is intended as a starting point for SaaS companies to model revenues and project their financial performance. We understand no two businesses are the same, and you can modify it as needed to suit the needs of your business.
</t>
    </r>
    <r>
      <rPr>
        <rFont val="Inter, Arial"/>
        <b/>
        <color rgb="FF091E42"/>
        <sz val="12.0"/>
      </rPr>
      <t>The key components of this SaaS financial model include:</t>
    </r>
    <r>
      <rPr>
        <rFont val="Inter, Arial"/>
        <b val="0"/>
        <color rgb="FF091E42"/>
        <sz val="12.0"/>
      </rPr>
      <t xml:space="preserve">
• Assumptions
• Actuals sheet (to record your historical data)
• ARR Summary
• Customer Summary
• Average Contract Value Summary
• Churn Metrics
• SaaS Metrics
• Income Statement (P&amp;L)
• Customer Control
• Dashboard</t>
    </r>
  </si>
  <si>
    <t>Cell value type</t>
  </si>
  <si>
    <t>Description</t>
  </si>
  <si>
    <t>Input 
(Actuals or Assumptions)</t>
  </si>
  <si>
    <r>
      <rPr>
        <rFont val="Inter"/>
        <color rgb="FF091E42"/>
        <sz val="12.0"/>
      </rPr>
      <t xml:space="preserve">Manually input your actuals data or assumption values in these cells shaded in light yellow. 
</t>
    </r>
    <r>
      <rPr>
        <rFont val="Inter"/>
        <color rgb="FF999999"/>
        <sz val="12.0"/>
      </rPr>
      <t xml:space="preserve">Note: These cells have been pre-populated with sample data </t>
    </r>
  </si>
  <si>
    <t>Formula</t>
  </si>
  <si>
    <t>These cells are automatically calculated using a formula. You can edit the formula to suit your needs</t>
  </si>
  <si>
    <r>
      <rPr>
        <rFont val="Inter"/>
        <color rgb="FF4F46E5"/>
        <sz val="16.0"/>
      </rPr>
      <t>Assumptions</t>
    </r>
    <r>
      <rPr>
        <rFont val="Inter"/>
        <color rgb="FF4F46E5"/>
        <sz val="18.0"/>
      </rPr>
      <t xml:space="preserve">
</t>
    </r>
    <r>
      <rPr>
        <rFont val="Inter"/>
        <color rgb="FF312E81"/>
        <sz val="24.0"/>
      </rPr>
      <t>SaaS Financial Model</t>
    </r>
  </si>
  <si>
    <t xml:space="preserve"> </t>
  </si>
  <si>
    <t>Notes</t>
  </si>
  <si>
    <t>1. Enter the start and end dates for the period you have historical data. Feel free to enter the data for whatever time period is available</t>
  </si>
  <si>
    <t>2. The forecast period starts 1-day post the end of the historical period specified. The forecast period is set to 36 months</t>
  </si>
  <si>
    <t>3.  Enter your assumptions for pipeline, expansion and income statement metrics</t>
  </si>
  <si>
    <t>4. Rows 19-22 (hidden) contain flags for indicating historical or forecast columns and the year column (for annual roll-ups). Toggle these to "1" for rolling your forecasts over time. This applies to all sheets.</t>
  </si>
  <si>
    <t>Model Timeline</t>
  </si>
  <si>
    <t>Format type</t>
  </si>
  <si>
    <t>Start of Historical Period</t>
  </si>
  <si>
    <t>Date</t>
  </si>
  <si>
    <t>End of Historical Period</t>
  </si>
  <si>
    <t>Start of Period</t>
  </si>
  <si>
    <t>Start of Forecast Period</t>
  </si>
  <si>
    <t>End of Period</t>
  </si>
  <si>
    <t>End of Forecast Period</t>
  </si>
  <si>
    <t>Timeline</t>
  </si>
  <si>
    <t>Year</t>
  </si>
  <si>
    <t>Flag</t>
  </si>
  <si>
    <t>Historical Flag</t>
  </si>
  <si>
    <t>Forecast Flag</t>
  </si>
  <si>
    <t>Year Flag</t>
  </si>
  <si>
    <t>Pipeline assumptions</t>
  </si>
  <si>
    <t>Leads per month</t>
  </si>
  <si>
    <t>#</t>
  </si>
  <si>
    <t>Expansion Assumption</t>
  </si>
  <si>
    <t>Expansion</t>
  </si>
  <si>
    <t>Income statement assumptions</t>
  </si>
  <si>
    <t>Gross Margin</t>
  </si>
  <si>
    <t>%</t>
  </si>
  <si>
    <t>G&amp;A</t>
  </si>
  <si>
    <t>$'000s</t>
  </si>
  <si>
    <t>S&amp;M</t>
  </si>
  <si>
    <t>R&amp;D</t>
  </si>
  <si>
    <r>
      <rPr>
        <rFont val="Inter"/>
        <color rgb="FF4F46E5"/>
        <sz val="16.0"/>
      </rPr>
      <t>Actuals</t>
    </r>
    <r>
      <rPr>
        <rFont val="Inter"/>
        <color rgb="FF4F46E5"/>
        <sz val="18.0"/>
      </rPr>
      <t xml:space="preserve">
</t>
    </r>
    <r>
      <rPr>
        <rFont val="Inter"/>
        <color rgb="FF312E81"/>
        <sz val="24.0"/>
      </rPr>
      <t>SaaS Financial Model</t>
    </r>
  </si>
  <si>
    <t>1. Enter your actuals in this sheet</t>
  </si>
  <si>
    <r>
      <rPr>
        <rFont val="Inter"/>
        <color theme="1"/>
        <sz val="10.0"/>
      </rPr>
      <t xml:space="preserve">2. Note for cohort metrics such as </t>
    </r>
    <r>
      <rPr>
        <rFont val="Inter"/>
        <color rgb="FF000000"/>
        <sz val="10.0"/>
      </rPr>
      <t>GRR</t>
    </r>
    <r>
      <rPr>
        <rFont val="Inter"/>
        <color theme="1"/>
        <sz val="10.0"/>
      </rPr>
      <t xml:space="preserve"> and </t>
    </r>
    <r>
      <rPr>
        <rFont val="Inter"/>
        <color rgb="FF000000"/>
        <sz val="10.0"/>
      </rPr>
      <t>NRR</t>
    </r>
    <r>
      <rPr>
        <rFont val="Inter"/>
        <color theme="1"/>
        <sz val="10.0"/>
      </rPr>
      <t xml:space="preserve">, calculate the values as per the steps mentioned in this </t>
    </r>
    <r>
      <rPr>
        <rFont val="Inter"/>
        <color rgb="FF000000"/>
        <sz val="10.0"/>
      </rPr>
      <t>article</t>
    </r>
    <r>
      <rPr>
        <rFont val="Inter"/>
        <color theme="1"/>
        <sz val="10.0"/>
      </rPr>
      <t xml:space="preserve"> and input the actuals here</t>
    </r>
  </si>
  <si>
    <t>ARR Summary</t>
  </si>
  <si>
    <t>Beginning ARR</t>
  </si>
  <si>
    <t>$</t>
  </si>
  <si>
    <t>New ARR</t>
  </si>
  <si>
    <t>Expansion ARR</t>
  </si>
  <si>
    <t>Churn ARR</t>
  </si>
  <si>
    <t>Ending ARR</t>
  </si>
  <si>
    <t>Customer Summary</t>
  </si>
  <si>
    <t>Beginning Customers</t>
  </si>
  <si>
    <t>New Customers</t>
  </si>
  <si>
    <t>Churned Customers</t>
  </si>
  <si>
    <t>Ending Customers</t>
  </si>
  <si>
    <t>Average Contract Value Summary</t>
  </si>
  <si>
    <t>Historical ACV</t>
  </si>
  <si>
    <t>New Customers Calculation</t>
  </si>
  <si>
    <t>Pipeline Leads</t>
  </si>
  <si>
    <t>MQL</t>
  </si>
  <si>
    <t>SQL</t>
  </si>
  <si>
    <t>Deals / New Customers</t>
  </si>
  <si>
    <t>Pipeline to MQL (conversion rate %)</t>
  </si>
  <si>
    <t>MQL to SQL (conversion rate %)</t>
  </si>
  <si>
    <t>SQL to Deals (conversion rate %)</t>
  </si>
  <si>
    <t>Churned Customers Calculation</t>
  </si>
  <si>
    <t>Historical / Forecasted Churn</t>
  </si>
  <si>
    <t>Churn Rate (% of total customer base)</t>
  </si>
  <si>
    <t>P&amp;L</t>
  </si>
  <si>
    <t>Revenue</t>
  </si>
  <si>
    <t>Revenue Growth</t>
  </si>
  <si>
    <t>COGS</t>
  </si>
  <si>
    <t>Gross Profit</t>
  </si>
  <si>
    <t>Operating Expenses</t>
  </si>
  <si>
    <t>Total Operating Expenses</t>
  </si>
  <si>
    <t>EBITDA</t>
  </si>
  <si>
    <t>EBITDA Margin</t>
  </si>
  <si>
    <t>SaaS metrics</t>
  </si>
  <si>
    <t>Customers Available to Renew</t>
  </si>
  <si>
    <t>ARR Available to Renew</t>
  </si>
  <si>
    <t>Customer Retention</t>
  </si>
  <si>
    <t>Gross Dollar Retention (GRR)</t>
  </si>
  <si>
    <t>Net Dollar Retention (NRR)</t>
  </si>
  <si>
    <t>Average Lifetime (in years)</t>
  </si>
  <si>
    <t>LTV</t>
  </si>
  <si>
    <t>CAC</t>
  </si>
  <si>
    <t>LTV to CAC Ratio</t>
  </si>
  <si>
    <r>
      <rPr>
        <rFont val="Inter"/>
        <color rgb="FF4F46E5"/>
        <sz val="16.0"/>
      </rPr>
      <t>Summary table</t>
    </r>
    <r>
      <rPr>
        <rFont val="Inter"/>
        <color rgb="FF4F46E5"/>
        <sz val="18.0"/>
      </rPr>
      <t xml:space="preserve">
</t>
    </r>
    <r>
      <rPr>
        <rFont val="Inter"/>
        <color rgb="FF312E81"/>
        <sz val="24.0"/>
      </rPr>
      <t>SaaS Financial Model</t>
    </r>
  </si>
  <si>
    <t>Start Date</t>
  </si>
  <si>
    <t>End Date</t>
  </si>
  <si>
    <t>Forecasted ACV</t>
  </si>
  <si>
    <t>Churn metrics</t>
  </si>
  <si>
    <t>% Customer Churn</t>
  </si>
  <si>
    <t>% ARR Churn</t>
  </si>
  <si>
    <t>SaaS Metrics</t>
  </si>
  <si>
    <t>LTV:CAC</t>
  </si>
  <si>
    <t>Rule of 40</t>
  </si>
  <si>
    <r>
      <rPr>
        <rFont val="Inter"/>
        <color rgb="FF4F46E5"/>
        <sz val="16.0"/>
      </rPr>
      <t>Income statement (P&amp;L)</t>
    </r>
    <r>
      <rPr>
        <rFont val="Inter"/>
        <color rgb="FF4F46E5"/>
        <sz val="18.0"/>
      </rPr>
      <t xml:space="preserve">
</t>
    </r>
    <r>
      <rPr>
        <rFont val="Inter"/>
        <color rgb="FF312E81"/>
        <sz val="24.0"/>
      </rPr>
      <t>SaaS Financial Model</t>
    </r>
  </si>
  <si>
    <r>
      <rPr>
        <rFont val="Inter"/>
        <color rgb="FF4F46E5"/>
        <sz val="16.0"/>
      </rPr>
      <t>Customer Control</t>
    </r>
    <r>
      <rPr>
        <rFont val="Inter"/>
        <color rgb="FF4F46E5"/>
        <sz val="18.0"/>
      </rPr>
      <t xml:space="preserve">
</t>
    </r>
    <r>
      <rPr>
        <rFont val="Inter"/>
        <color rgb="FF312E81"/>
        <sz val="24.0"/>
      </rPr>
      <t>SaaS Financial Model</t>
    </r>
  </si>
  <si>
    <t>Net new customers</t>
  </si>
  <si>
    <t>Pipeline to MQL (conversion rate)</t>
  </si>
  <si>
    <t>MQL to SQL (conversion rate)</t>
  </si>
  <si>
    <t>SQL to Deals (conversion rate)</t>
  </si>
  <si>
    <t>Chart Data</t>
  </si>
  <si>
    <t>ARR Waterfall</t>
  </si>
  <si>
    <t>Gross Dollar Retention</t>
  </si>
  <si>
    <t>Net Dollar Retention</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</si>
</sst>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quot;/&quot;d&quot;/&quot;yyyy"/>
    <numFmt numFmtId="165" formatCode="mmm&quot;-&quot;yy"/>
    <numFmt numFmtId="166" formatCode="#,##0;(#,##0);-"/>
    <numFmt numFmtId="167" formatCode="0.0%"/>
    <numFmt numFmtId="168" formatCode="#,##0.00;(#,##0.00);-"/>
    <numFmt numFmtId="169" formatCode="#,##0.0;(#,##0.0);-"/>
  </numFmts>
  <fonts count="27">
    <font>
      <sz val="10.0"/>
      <color rgb="FF000000"/>
      <name val="Arial"/>
      <scheme val="minor"/>
    </font>
    <font>
      <color theme="1"/>
      <name val="Arial"/>
    </font>
    <font>
      <color theme="1"/>
      <name val="Arial"/>
      <scheme val="minor"/>
    </font>
    <font>
      <color rgb="FF1155CC"/>
      <name val="Inter"/>
    </font>
    <font>
      <sz val="18.0"/>
      <color rgb="FF4F46E5"/>
      <name val="Inter"/>
    </font>
    <font>
      <u/>
      <color rgb="FF1155CC"/>
      <name val="Inter"/>
    </font>
    <font>
      <b/>
      <sz val="12.0"/>
      <color rgb="FF091E42"/>
      <name val="Inter"/>
    </font>
    <font>
      <b/>
      <sz val="12.0"/>
      <color rgb="FFFAF9FF"/>
      <name val="Inter"/>
    </font>
    <font>
      <b/>
      <sz val="11.0"/>
      <color rgb="FFEFEFEF"/>
      <name val="Inter"/>
    </font>
    <font>
      <sz val="12.0"/>
      <color rgb="FF091E42"/>
      <name val="Inter"/>
    </font>
    <font>
      <color theme="1"/>
      <name val="Inter"/>
    </font>
    <font>
      <b/>
      <sz val="10.0"/>
      <color theme="0"/>
      <name val="Inter"/>
    </font>
    <font>
      <sz val="10.0"/>
      <color theme="1"/>
      <name val="Inter"/>
    </font>
    <font>
      <b/>
      <color theme="1"/>
      <name val="Inter"/>
    </font>
    <font>
      <i/>
      <color rgb="FFFFFFFF"/>
      <name val="Inter"/>
    </font>
    <font>
      <i/>
      <color theme="1"/>
      <name val="Inter"/>
    </font>
    <font>
      <i/>
      <color theme="0"/>
      <name val="Inter"/>
    </font>
    <font/>
    <font>
      <b/>
      <i/>
      <color theme="1"/>
      <name val="Inter"/>
    </font>
    <font>
      <i/>
      <color rgb="FF059669"/>
      <name val="Inter"/>
    </font>
    <font>
      <color rgb="FF059669"/>
      <name val="Inter"/>
    </font>
    <font>
      <b/>
      <color theme="1"/>
      <name val="Arial"/>
      <scheme val="minor"/>
    </font>
    <font>
      <sz val="8.0"/>
      <color theme="1"/>
      <name val="Arial"/>
      <scheme val="minor"/>
    </font>
    <font>
      <b/>
      <sz val="8.0"/>
      <color rgb="FFFFFFFF"/>
      <name val="Arial"/>
      <scheme val="minor"/>
    </font>
    <font>
      <b/>
      <sz val="8.0"/>
      <color theme="1"/>
      <name val="Arial"/>
      <scheme val="minor"/>
    </font>
    <font>
      <i/>
      <sz val="8.0"/>
      <color theme="1"/>
      <name val="Arial"/>
      <scheme val="minor"/>
    </font>
    <font>
      <b/>
      <color rgb="FF312E81"/>
      <name val="Arial"/>
      <scheme val="minor"/>
    </font>
  </fonts>
  <fills count="15">
    <fill>
      <patternFill patternType="none"/>
    </fill>
    <fill>
      <patternFill patternType="lightGray"/>
    </fill>
    <fill>
      <patternFill patternType="solid">
        <fgColor rgb="FFFAF9FF"/>
        <bgColor rgb="FFFAF9FF"/>
      </patternFill>
    </fill>
    <fill>
      <patternFill patternType="solid">
        <fgColor rgb="FF4F46E5"/>
        <bgColor rgb="FF4F46E5"/>
      </patternFill>
    </fill>
    <fill>
      <patternFill patternType="solid">
        <fgColor rgb="FFFFFFFF"/>
        <bgColor rgb="FFFFFFFF"/>
      </patternFill>
    </fill>
    <fill>
      <patternFill patternType="solid">
        <fgColor rgb="FFFFF2D1"/>
        <bgColor rgb="FFFFF2D1"/>
      </patternFill>
    </fill>
    <fill>
      <patternFill patternType="solid">
        <fgColor theme="0"/>
        <bgColor theme="0"/>
      </patternFill>
    </fill>
    <fill>
      <patternFill patternType="solid">
        <fgColor rgb="FFDDD6FE"/>
        <bgColor rgb="FFDDD6FE"/>
      </patternFill>
    </fill>
    <fill>
      <patternFill patternType="solid">
        <fgColor rgb="FF5EEAD4"/>
        <bgColor rgb="FF5EEAD4"/>
      </patternFill>
    </fill>
    <fill>
      <patternFill patternType="solid">
        <fgColor rgb="FFFEF3C7"/>
        <bgColor rgb="FFFEF3C7"/>
      </patternFill>
    </fill>
    <fill>
      <patternFill patternType="solid">
        <fgColor rgb="FFD9D9D9"/>
        <bgColor rgb="FFD9D9D9"/>
      </patternFill>
    </fill>
    <fill>
      <patternFill patternType="solid">
        <fgColor rgb="FFE0E7FF"/>
        <bgColor rgb="FFE0E7FF"/>
      </patternFill>
    </fill>
    <fill>
      <patternFill patternType="solid">
        <fgColor rgb="FFFCE7F3"/>
        <bgColor rgb="FFFCE7F3"/>
      </patternFill>
    </fill>
    <fill>
      <patternFill patternType="solid">
        <fgColor rgb="FFF3F3F3"/>
        <bgColor rgb="FFF3F3F3"/>
      </patternFill>
    </fill>
    <fill>
      <patternFill patternType="solid">
        <fgColor rgb="FFFFF2CC"/>
        <bgColor rgb="FFFFF2CC"/>
      </patternFill>
    </fill>
  </fills>
  <borders count="44">
    <border/>
    <border>
      <left style="thin">
        <color rgb="FF666666"/>
      </left>
      <right style="thin">
        <color rgb="FF666666"/>
      </right>
      <top style="thin">
        <color rgb="FF666666"/>
      </top>
      <bottom style="thin">
        <color rgb="FF666666"/>
      </bottom>
    </border>
    <border>
      <left style="thin">
        <color rgb="FF000000"/>
      </left>
      <right style="thin">
        <color rgb="FF000000"/>
      </right>
      <top style="thin">
        <color rgb="FF000000"/>
      </top>
      <bottom style="thin">
        <color rgb="FF000000"/>
      </bottom>
    </border>
    <border>
      <left style="thin">
        <color rgb="FFD9D9D9"/>
      </left>
      <right style="thin">
        <color rgb="FFD9D9D9"/>
      </right>
      <top style="thin">
        <color rgb="FFD9D9D9"/>
      </top>
      <bottom style="thin">
        <color rgb="FFD9D9D9"/>
      </bottom>
    </border>
    <border>
      <bottom style="thin">
        <color rgb="FF091E42"/>
      </bottom>
    </border>
    <border>
      <left style="thin">
        <color rgb="FF999999"/>
      </left>
      <bottom style="thin">
        <color rgb="FF091E42"/>
      </bottom>
    </border>
    <border>
      <left style="thin">
        <color rgb="FF999999"/>
      </left>
      <right style="thin">
        <color rgb="FF999999"/>
      </right>
      <bottom style="thin">
        <color rgb="FF091E42"/>
      </bottom>
    </border>
    <border>
      <right style="thin">
        <color rgb="FFFFFFFF"/>
      </right>
      <bottom style="thin">
        <color rgb="FF091E42"/>
      </bottom>
    </border>
    <border>
      <left style="thin">
        <color rgb="FFFFFFFF"/>
      </left>
      <right style="thin">
        <color rgb="FFFFFFFF"/>
      </right>
      <bottom style="thin">
        <color rgb="FF091E42"/>
      </bottom>
    </border>
    <border>
      <left style="thin">
        <color rgb="FFFFFFFF"/>
      </left>
      <bottom style="thin">
        <color rgb="FF091E42"/>
      </bottom>
    </border>
    <border>
      <left style="thin">
        <color rgb="FFD9D9D9"/>
      </left>
      <right style="thin">
        <color rgb="FFD9D9D9"/>
      </right>
      <bottom style="thin">
        <color rgb="FFD9D9D9"/>
      </bottom>
    </border>
    <border>
      <left style="thin">
        <color rgb="FFFFFFFF"/>
      </left>
      <right style="thin">
        <color rgb="FFFFFFFF"/>
      </right>
      <top style="thin">
        <color rgb="FFFFFFFF"/>
      </top>
      <bottom style="thin">
        <color rgb="FFFFFFFF"/>
      </bottom>
    </border>
    <border>
      <bottom style="thin">
        <color rgb="FFFFFFFF"/>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
      <left style="thin">
        <color rgb="FFD9D9D9"/>
      </left>
      <top style="thin">
        <color rgb="FFD9D9D9"/>
      </top>
    </border>
    <border>
      <top style="thin">
        <color rgb="FFD9D9D9"/>
      </top>
    </border>
    <border>
      <right style="thin">
        <color rgb="FFD9D9D9"/>
      </right>
      <top style="thin">
        <color rgb="FFD9D9D9"/>
      </top>
    </border>
    <border>
      <left style="thin">
        <color rgb="FFD9D9D9"/>
      </left>
      <right style="thin">
        <color rgb="FFD9D9D9"/>
      </right>
      <top style="thin">
        <color rgb="FFD9D9D9"/>
      </top>
    </border>
    <border>
      <left style="thin">
        <color rgb="FFD9D9D9"/>
      </left>
      <top style="thin">
        <color rgb="FF091E42"/>
      </top>
      <bottom style="thin">
        <color rgb="FF091E42"/>
      </bottom>
    </border>
    <border>
      <top style="thin">
        <color rgb="FF091E42"/>
      </top>
      <bottom style="thin">
        <color rgb="FF091E42"/>
      </bottom>
    </border>
    <border>
      <right style="thin">
        <color rgb="FFD9D9D9"/>
      </right>
      <top style="thin">
        <color rgb="FF091E42"/>
      </top>
      <bottom style="thin">
        <color rgb="FF091E42"/>
      </bottom>
    </border>
    <border>
      <left style="thin">
        <color rgb="FFD9D9D9"/>
      </left>
      <right style="thin">
        <color rgb="FFD9D9D9"/>
      </right>
      <top style="thin">
        <color rgb="FF091E42"/>
      </top>
      <bottom style="thin">
        <color rgb="FF091E42"/>
      </bottom>
    </border>
    <border>
      <left style="thin">
        <color rgb="FF091E42"/>
      </left>
      <right style="thin">
        <color rgb="FF000000"/>
      </right>
      <top style="thin">
        <color rgb="FF091E42"/>
      </top>
      <bottom style="thin">
        <color rgb="FF091E42"/>
      </bottom>
    </border>
    <border>
      <left style="thin">
        <color rgb="FF000000"/>
      </left>
      <right style="thin">
        <color rgb="FF000000"/>
      </right>
      <top style="thin">
        <color rgb="FF091E42"/>
      </top>
      <bottom style="thin">
        <color rgb="FF091E42"/>
      </bottom>
    </border>
    <border>
      <left style="thin">
        <color rgb="FF000000"/>
      </left>
      <right style="thin">
        <color rgb="FF091E42"/>
      </right>
      <top style="thin">
        <color rgb="FF091E42"/>
      </top>
      <bottom style="thin">
        <color rgb="FF091E42"/>
      </bottom>
    </border>
    <border>
      <left style="thin">
        <color rgb="FF000000"/>
      </left>
      <right style="thin">
        <color rgb="FF000000"/>
      </right>
      <top style="thin">
        <color rgb="FF000000"/>
      </top>
      <bottom style="thin">
        <color rgb="FF091E42"/>
      </bottom>
    </border>
    <border>
      <top style="thin">
        <color rgb="FF091E42"/>
      </top>
      <bottom style="thin">
        <color rgb="FF000000"/>
      </bottom>
    </border>
    <border>
      <top style="thin">
        <color rgb="FF000000"/>
      </top>
      <bottom style="thin">
        <color rgb="FF000000"/>
      </bottom>
    </border>
    <border>
      <left style="thin">
        <color rgb="FFD9D9D9"/>
      </left>
      <top style="thin">
        <color rgb="FFD9D9D9"/>
      </top>
      <bottom style="thin">
        <color rgb="FF091E42"/>
      </bottom>
    </border>
    <border>
      <right style="thin">
        <color rgb="FFD9D9D9"/>
      </right>
      <top style="thin">
        <color rgb="FFD9D9D9"/>
      </top>
      <bottom style="thin">
        <color rgb="FF091E42"/>
      </bottom>
    </border>
    <border>
      <top style="thin">
        <color rgb="FFD9D9D9"/>
      </top>
      <bottom style="thin">
        <color rgb="FF091E42"/>
      </bottom>
    </border>
    <border>
      <left style="thin">
        <color rgb="FFD9D9D9"/>
      </left>
      <right style="thin">
        <color rgb="FFD9D9D9"/>
      </right>
      <top style="thin">
        <color rgb="FFD9D9D9"/>
      </top>
      <bottom style="thin">
        <color rgb="FF091E42"/>
      </bottom>
    </border>
    <border>
      <bottom style="thin">
        <color rgb="FF000000"/>
      </bottom>
    </border>
    <border>
      <left style="thin">
        <color rgb="FF000000"/>
      </left>
    </border>
    <border>
      <left style="thin">
        <color rgb="FF000000"/>
      </left>
      <right style="thin">
        <color rgb="FF000000"/>
      </right>
      <top style="thin">
        <color rgb="FF091E42"/>
      </top>
      <bottom style="thin">
        <color rgb="FF000000"/>
      </bottom>
    </border>
    <border>
      <left style="thin">
        <color rgb="FFD9D9D9"/>
      </left>
    </border>
    <border>
      <right style="thin">
        <color rgb="FFD9D9D9"/>
      </right>
    </border>
    <border>
      <left style="thin">
        <color rgb="FFD9D9D9"/>
      </left>
      <bottom style="thin">
        <color rgb="FFD9D9D9"/>
      </bottom>
    </border>
    <border>
      <bottom style="thin">
        <color rgb="FFD9D9D9"/>
      </bottom>
    </border>
    <border>
      <right style="thin">
        <color rgb="FFD9D9D9"/>
      </right>
      <bottom style="thin">
        <color rgb="FFD9D9D9"/>
      </bottom>
    </border>
    <border>
      <left style="thin">
        <color rgb="FFD9D9D9"/>
      </left>
      <bottom style="thin">
        <color rgb="FF091E42"/>
      </bottom>
    </border>
    <border>
      <right style="thin">
        <color rgb="FFD9D9D9"/>
      </right>
      <bottom style="thin">
        <color rgb="FF091E42"/>
      </bottom>
    </border>
  </borders>
  <cellStyleXfs count="1">
    <xf borderId="0" fillId="0" fontId="0" numFmtId="0" applyAlignment="1" applyFont="1"/>
  </cellStyleXfs>
  <cellXfs count="303">
    <xf borderId="0" fillId="0" fontId="0" numFmtId="0" xfId="0" applyAlignment="1" applyFont="1">
      <alignment readingOrder="0" shrinkToFit="0" vertical="bottom" wrapText="0"/>
    </xf>
    <xf borderId="0" fillId="2" fontId="1" numFmtId="0" xfId="0" applyAlignment="1" applyFill="1" applyFont="1">
      <alignment vertical="bottom"/>
    </xf>
    <xf borderId="0" fillId="2" fontId="2" numFmtId="0" xfId="0" applyAlignment="1" applyFont="1">
      <alignment vertical="center"/>
    </xf>
    <xf borderId="0" fillId="2" fontId="3" numFmtId="0" xfId="0" applyAlignment="1" applyFont="1">
      <alignment horizontal="right" readingOrder="0" vertical="center"/>
    </xf>
    <xf borderId="0" fillId="2" fontId="1" numFmtId="0" xfId="0" applyAlignment="1" applyFont="1">
      <alignment vertical="center"/>
    </xf>
    <xf borderId="0" fillId="2" fontId="4" numFmtId="0" xfId="0" applyAlignment="1" applyFont="1">
      <alignment readingOrder="0" vertical="center"/>
    </xf>
    <xf borderId="0" fillId="2" fontId="5" numFmtId="0" xfId="0" applyAlignment="1" applyFont="1">
      <alignment horizontal="right" vertical="center"/>
    </xf>
    <xf borderId="0" fillId="2" fontId="6" numFmtId="0" xfId="0" applyAlignment="1" applyFont="1">
      <alignment readingOrder="0" shrinkToFit="0" vertical="center" wrapText="1"/>
    </xf>
    <xf borderId="0" fillId="3" fontId="2" numFmtId="0" xfId="0" applyAlignment="1" applyFill="1" applyFont="1">
      <alignment vertical="center"/>
    </xf>
    <xf borderId="0" fillId="3" fontId="7" numFmtId="0" xfId="0" applyAlignment="1" applyFont="1">
      <alignment readingOrder="0" vertical="center"/>
    </xf>
    <xf borderId="0" fillId="3" fontId="8" numFmtId="0" xfId="0" applyAlignment="1" applyFont="1">
      <alignment vertical="center"/>
    </xf>
    <xf borderId="0" fillId="3" fontId="1" numFmtId="0" xfId="0" applyAlignment="1" applyFont="1">
      <alignment vertical="center"/>
    </xf>
    <xf borderId="0" fillId="4" fontId="1" numFmtId="0" xfId="0" applyAlignment="1" applyFill="1" applyFont="1">
      <alignment vertical="center"/>
    </xf>
    <xf borderId="0" fillId="4" fontId="1" numFmtId="3" xfId="0" applyAlignment="1" applyFont="1" applyNumberFormat="1">
      <alignment vertical="center"/>
    </xf>
    <xf borderId="1" fillId="5" fontId="9" numFmtId="0" xfId="0" applyAlignment="1" applyBorder="1" applyFill="1" applyFont="1">
      <alignment readingOrder="0" shrinkToFit="0" vertical="center" wrapText="1"/>
    </xf>
    <xf borderId="0" fillId="0" fontId="9" numFmtId="0" xfId="0" applyAlignment="1" applyFont="1">
      <alignment readingOrder="0" shrinkToFit="0" vertical="center" wrapText="1"/>
    </xf>
    <xf borderId="0" fillId="4" fontId="9" numFmtId="3" xfId="0" applyAlignment="1" applyFont="1" applyNumberFormat="1">
      <alignment readingOrder="0" shrinkToFit="0" vertical="center" wrapText="1"/>
    </xf>
    <xf borderId="0" fillId="4" fontId="9" numFmtId="0" xfId="0" applyAlignment="1" applyFont="1">
      <alignment readingOrder="0" shrinkToFit="0" vertical="center" wrapText="1"/>
    </xf>
    <xf borderId="0" fillId="4" fontId="9" numFmtId="0" xfId="0" applyAlignment="1" applyFont="1">
      <alignment readingOrder="0" shrinkToFit="0" vertical="center" wrapText="1"/>
    </xf>
    <xf borderId="0" fillId="4" fontId="1" numFmtId="9" xfId="0" applyAlignment="1" applyFont="1" applyNumberFormat="1">
      <alignment vertical="center"/>
    </xf>
    <xf borderId="0" fillId="2" fontId="10" numFmtId="0" xfId="0" applyFont="1"/>
    <xf borderId="0" fillId="2" fontId="4" numFmtId="0" xfId="0" applyAlignment="1" applyFont="1">
      <alignment readingOrder="0" vertical="center"/>
    </xf>
    <xf borderId="0" fillId="2" fontId="10" numFmtId="0" xfId="0" applyAlignment="1" applyFont="1">
      <alignment vertical="center"/>
    </xf>
    <xf borderId="0" fillId="3" fontId="10" numFmtId="0" xfId="0" applyAlignment="1" applyFont="1">
      <alignment readingOrder="0" vertical="center"/>
    </xf>
    <xf borderId="0" fillId="3" fontId="11" numFmtId="0" xfId="0" applyAlignment="1" applyFont="1">
      <alignment readingOrder="0" vertical="center"/>
    </xf>
    <xf borderId="0" fillId="2" fontId="6" numFmtId="0" xfId="0" applyAlignment="1" applyFont="1">
      <alignment readingOrder="0" vertical="center"/>
    </xf>
    <xf borderId="0" fillId="6" fontId="10" numFmtId="0" xfId="0" applyAlignment="1" applyFill="1" applyFont="1">
      <alignment vertical="center"/>
    </xf>
    <xf borderId="0" fillId="6" fontId="12" numFmtId="0" xfId="0" applyAlignment="1" applyFont="1">
      <alignment readingOrder="0" shrinkToFit="0" vertical="center" wrapText="1"/>
    </xf>
    <xf borderId="0" fillId="6" fontId="12" numFmtId="0" xfId="0" applyAlignment="1" applyFont="1">
      <alignment vertical="center"/>
    </xf>
    <xf borderId="0" fillId="6" fontId="10" numFmtId="0" xfId="0" applyFont="1"/>
    <xf borderId="0" fillId="7" fontId="13" numFmtId="0" xfId="0" applyAlignment="1" applyFill="1" applyFont="1">
      <alignment readingOrder="0" vertical="center"/>
    </xf>
    <xf borderId="0" fillId="7" fontId="10" numFmtId="0" xfId="0" applyAlignment="1" applyFont="1">
      <alignment vertical="center"/>
    </xf>
    <xf borderId="0" fillId="0" fontId="10" numFmtId="0" xfId="0" applyAlignment="1" applyFont="1">
      <alignment readingOrder="0" vertical="center"/>
    </xf>
    <xf borderId="0" fillId="3" fontId="14" numFmtId="0" xfId="0" applyAlignment="1" applyFont="1">
      <alignment horizontal="center" vertical="center"/>
    </xf>
    <xf borderId="0" fillId="8" fontId="15" numFmtId="0" xfId="0" applyAlignment="1" applyFill="1" applyFont="1">
      <alignment horizontal="center" vertical="center"/>
    </xf>
    <xf borderId="0" fillId="0" fontId="10" numFmtId="0" xfId="0" applyAlignment="1" applyFont="1">
      <alignment vertical="center"/>
    </xf>
    <xf borderId="0" fillId="3" fontId="16" numFmtId="0" xfId="0" applyAlignment="1" applyFont="1">
      <alignment horizontal="center" vertical="center"/>
    </xf>
    <xf borderId="0" fillId="0" fontId="15" numFmtId="0" xfId="0" applyAlignment="1" applyFont="1">
      <alignment horizontal="center" vertical="center"/>
    </xf>
    <xf borderId="2" fillId="9" fontId="10" numFmtId="164" xfId="0" applyAlignment="1" applyBorder="1" applyFill="1" applyFont="1" applyNumberFormat="1">
      <alignment readingOrder="0" vertical="center"/>
    </xf>
    <xf borderId="3" fillId="0" fontId="10" numFmtId="0" xfId="0" applyAlignment="1" applyBorder="1" applyFont="1">
      <alignment readingOrder="0" vertical="center"/>
    </xf>
    <xf borderId="4" fillId="10" fontId="13" numFmtId="165" xfId="0" applyAlignment="1" applyBorder="1" applyFill="1" applyFont="1" applyNumberFormat="1">
      <alignment horizontal="center" vertical="center"/>
    </xf>
    <xf borderId="5" fillId="10" fontId="13" numFmtId="165" xfId="0" applyAlignment="1" applyBorder="1" applyFont="1" applyNumberFormat="1">
      <alignment horizontal="center" vertical="center"/>
    </xf>
    <xf borderId="6" fillId="10" fontId="13" numFmtId="165" xfId="0" applyAlignment="1" applyBorder="1" applyFont="1" applyNumberFormat="1">
      <alignment horizontal="center" vertical="center"/>
    </xf>
    <xf borderId="7" fillId="11" fontId="13" numFmtId="165" xfId="0" applyAlignment="1" applyBorder="1" applyFill="1" applyFont="1" applyNumberFormat="1">
      <alignment horizontal="center" vertical="center"/>
    </xf>
    <xf borderId="8" fillId="11" fontId="13" numFmtId="165" xfId="0" applyAlignment="1" applyBorder="1" applyFont="1" applyNumberFormat="1">
      <alignment horizontal="center" vertical="center"/>
    </xf>
    <xf borderId="9" fillId="11" fontId="13" numFmtId="165" xfId="0" applyAlignment="1" applyBorder="1" applyFont="1" applyNumberFormat="1">
      <alignment horizontal="center" vertical="center"/>
    </xf>
    <xf borderId="4" fillId="0" fontId="10" numFmtId="0" xfId="0" applyAlignment="1" applyBorder="1" applyFont="1">
      <alignment horizontal="center" vertical="center"/>
    </xf>
    <xf borderId="10" fillId="0" fontId="10" numFmtId="164" xfId="0" applyAlignment="1" applyBorder="1" applyFont="1" applyNumberFormat="1">
      <alignment horizontal="center" vertical="center"/>
    </xf>
    <xf borderId="10" fillId="0" fontId="10" numFmtId="14" xfId="0" applyAlignment="1" applyBorder="1" applyFont="1" applyNumberFormat="1">
      <alignment horizontal="center" vertical="center"/>
    </xf>
    <xf borderId="0" fillId="0" fontId="10" numFmtId="0" xfId="0" applyAlignment="1" applyFont="1">
      <alignment horizontal="center" vertical="center"/>
    </xf>
    <xf borderId="0" fillId="0" fontId="10" numFmtId="164" xfId="0" applyAlignment="1" applyFont="1" applyNumberFormat="1">
      <alignment vertical="center"/>
    </xf>
    <xf borderId="3" fillId="0" fontId="10" numFmtId="14" xfId="0" applyAlignment="1" applyBorder="1" applyFont="1" applyNumberFormat="1">
      <alignment horizontal="center" vertical="center"/>
    </xf>
    <xf borderId="3" fillId="0" fontId="10" numFmtId="0" xfId="0" applyAlignment="1" applyBorder="1" applyFont="1">
      <alignment horizontal="center" vertical="center"/>
    </xf>
    <xf borderId="11" fillId="12" fontId="13" numFmtId="0" xfId="0" applyAlignment="1" applyBorder="1" applyFill="1" applyFont="1">
      <alignment readingOrder="0" vertical="center"/>
    </xf>
    <xf borderId="11" fillId="12" fontId="10" numFmtId="0" xfId="0" applyAlignment="1" applyBorder="1" applyFont="1">
      <alignment horizontal="center" vertical="center"/>
    </xf>
    <xf borderId="12" fillId="0" fontId="10" numFmtId="0" xfId="0" applyAlignment="1" applyBorder="1" applyFont="1">
      <alignment horizontal="center" vertical="center"/>
    </xf>
    <xf borderId="10" fillId="13" fontId="10" numFmtId="0" xfId="0" applyAlignment="1" applyBorder="1" applyFill="1" applyFont="1">
      <alignment readingOrder="0" vertical="center"/>
    </xf>
    <xf borderId="10" fillId="13" fontId="10" numFmtId="166" xfId="0" applyAlignment="1" applyBorder="1" applyFont="1" applyNumberFormat="1">
      <alignment horizontal="center" vertical="center"/>
    </xf>
    <xf borderId="10" fillId="13" fontId="10" numFmtId="0" xfId="0" applyAlignment="1" applyBorder="1" applyFont="1">
      <alignment horizontal="center" vertical="center"/>
    </xf>
    <xf borderId="0" fillId="0" fontId="10" numFmtId="166" xfId="0" applyAlignment="1" applyFont="1" applyNumberFormat="1">
      <alignment horizontal="center" vertical="center"/>
    </xf>
    <xf borderId="3" fillId="13" fontId="10" numFmtId="0" xfId="0" applyAlignment="1" applyBorder="1" applyFont="1">
      <alignment readingOrder="0" vertical="center"/>
    </xf>
    <xf borderId="3" fillId="13" fontId="10" numFmtId="166" xfId="0" applyAlignment="1" applyBorder="1" applyFont="1" applyNumberFormat="1">
      <alignment horizontal="center" vertical="center"/>
    </xf>
    <xf borderId="3" fillId="13" fontId="10" numFmtId="0" xfId="0" applyAlignment="1" applyBorder="1" applyFont="1">
      <alignment horizontal="center" vertical="center"/>
    </xf>
    <xf borderId="0" fillId="0" fontId="15" numFmtId="0" xfId="0" applyAlignment="1" applyFont="1">
      <alignment horizontal="center" readingOrder="0" vertical="center"/>
    </xf>
    <xf borderId="3" fillId="0" fontId="10" numFmtId="166" xfId="0" applyAlignment="1" applyBorder="1" applyFont="1" applyNumberFormat="1">
      <alignment vertical="center"/>
    </xf>
    <xf borderId="2" fillId="14" fontId="10" numFmtId="166" xfId="0" applyAlignment="1" applyBorder="1" applyFill="1" applyFont="1" applyNumberFormat="1">
      <alignment vertical="center"/>
    </xf>
    <xf borderId="2" fillId="9" fontId="10" numFmtId="166" xfId="0" applyAlignment="1" applyBorder="1" applyFont="1" applyNumberFormat="1">
      <alignment vertical="center"/>
    </xf>
    <xf borderId="0" fillId="0" fontId="15" numFmtId="0" xfId="0" applyAlignment="1" applyFont="1">
      <alignment vertical="center"/>
    </xf>
    <xf borderId="0" fillId="7" fontId="15" numFmtId="0" xfId="0" applyAlignment="1" applyFont="1">
      <alignment vertical="center"/>
    </xf>
    <xf borderId="3" fillId="0" fontId="10" numFmtId="10" xfId="0" applyAlignment="1" applyBorder="1" applyFont="1" applyNumberFormat="1">
      <alignment vertical="center"/>
    </xf>
    <xf borderId="2" fillId="14" fontId="10" numFmtId="9" xfId="0" applyAlignment="1" applyBorder="1" applyFont="1" applyNumberFormat="1">
      <alignment readingOrder="0" vertical="center"/>
    </xf>
    <xf borderId="2" fillId="9" fontId="10" numFmtId="9" xfId="0" applyAlignment="1" applyBorder="1" applyFont="1" applyNumberFormat="1">
      <alignment readingOrder="0" vertical="center"/>
    </xf>
    <xf borderId="2" fillId="14" fontId="10" numFmtId="166" xfId="0" applyAlignment="1" applyBorder="1" applyFont="1" applyNumberFormat="1">
      <alignment readingOrder="0" vertical="center"/>
    </xf>
    <xf borderId="2" fillId="9" fontId="10" numFmtId="166" xfId="0" applyAlignment="1" applyBorder="1" applyFont="1" applyNumberFormat="1">
      <alignment readingOrder="0" vertical="center"/>
    </xf>
    <xf borderId="0" fillId="3" fontId="10" numFmtId="0" xfId="0" applyFont="1"/>
    <xf borderId="0" fillId="4" fontId="10" numFmtId="0" xfId="0" applyAlignment="1" applyFont="1">
      <alignment vertical="center"/>
    </xf>
    <xf borderId="0" fillId="6" fontId="12" numFmtId="0" xfId="0" applyAlignment="1" applyFont="1">
      <alignment readingOrder="0" shrinkToFit="0" vertical="center" wrapText="1"/>
    </xf>
    <xf borderId="0" fillId="2" fontId="10" numFmtId="0" xfId="0" applyAlignment="1" applyFont="1">
      <alignment readingOrder="0"/>
    </xf>
    <xf borderId="0" fillId="3" fontId="16" numFmtId="0" xfId="0" applyAlignment="1" applyFont="1">
      <alignment horizontal="center"/>
    </xf>
    <xf borderId="0" fillId="8" fontId="15" numFmtId="0" xfId="0" applyAlignment="1" applyFont="1">
      <alignment horizontal="center"/>
    </xf>
    <xf borderId="0" fillId="2" fontId="15" numFmtId="0" xfId="0" applyAlignment="1" applyFont="1">
      <alignment horizontal="center"/>
    </xf>
    <xf borderId="0" fillId="2" fontId="13" numFmtId="0" xfId="0" applyAlignment="1" applyFont="1">
      <alignment readingOrder="0"/>
    </xf>
    <xf borderId="4" fillId="10" fontId="10" numFmtId="165" xfId="0" applyAlignment="1" applyBorder="1" applyFont="1" applyNumberFormat="1">
      <alignment horizontal="center"/>
    </xf>
    <xf borderId="6" fillId="10" fontId="10" numFmtId="165" xfId="0" applyAlignment="1" applyBorder="1" applyFont="1" applyNumberFormat="1">
      <alignment horizontal="center"/>
    </xf>
    <xf borderId="7" fillId="11" fontId="10" numFmtId="165" xfId="0" applyAlignment="1" applyBorder="1" applyFont="1" applyNumberFormat="1">
      <alignment horizontal="center"/>
    </xf>
    <xf borderId="8" fillId="11" fontId="10" numFmtId="165" xfId="0" applyAlignment="1" applyBorder="1" applyFont="1" applyNumberFormat="1">
      <alignment horizontal="center"/>
    </xf>
    <xf borderId="0" fillId="2" fontId="10" numFmtId="165" xfId="0" applyAlignment="1" applyFont="1" applyNumberFormat="1">
      <alignment horizontal="center"/>
    </xf>
    <xf borderId="10" fillId="13" fontId="10" numFmtId="0" xfId="0" applyAlignment="1" applyBorder="1" applyFont="1">
      <alignment readingOrder="0"/>
    </xf>
    <xf borderId="10" fillId="0" fontId="10" numFmtId="164" xfId="0" applyAlignment="1" applyBorder="1" applyFont="1" applyNumberFormat="1">
      <alignment horizontal="center"/>
    </xf>
    <xf borderId="10" fillId="0" fontId="10" numFmtId="14" xfId="0" applyAlignment="1" applyBorder="1" applyFont="1" applyNumberFormat="1">
      <alignment horizontal="center"/>
    </xf>
    <xf borderId="0" fillId="2" fontId="10" numFmtId="0" xfId="0" applyAlignment="1" applyFont="1">
      <alignment horizontal="center"/>
    </xf>
    <xf borderId="3" fillId="13" fontId="10" numFmtId="0" xfId="0" applyAlignment="1" applyBorder="1" applyFont="1">
      <alignment readingOrder="0"/>
    </xf>
    <xf borderId="3" fillId="0" fontId="10" numFmtId="14" xfId="0" applyAlignment="1" applyBorder="1" applyFont="1" applyNumberFormat="1">
      <alignment horizontal="center"/>
    </xf>
    <xf borderId="3" fillId="0" fontId="10" numFmtId="0" xfId="0" applyAlignment="1" applyBorder="1" applyFont="1">
      <alignment horizontal="center"/>
    </xf>
    <xf borderId="11" fillId="12" fontId="13" numFmtId="0" xfId="0" applyAlignment="1" applyBorder="1" applyFont="1">
      <alignment readingOrder="0"/>
    </xf>
    <xf borderId="11" fillId="12" fontId="10" numFmtId="0" xfId="0" applyBorder="1" applyFont="1"/>
    <xf borderId="11" fillId="2" fontId="10" numFmtId="0" xfId="0" applyBorder="1" applyFont="1"/>
    <xf borderId="10" fillId="13" fontId="10" numFmtId="166" xfId="0" applyAlignment="1" applyBorder="1" applyFont="1" applyNumberFormat="1">
      <alignment horizontal="center"/>
    </xf>
    <xf borderId="10" fillId="2" fontId="10" numFmtId="0" xfId="0" applyAlignment="1" applyBorder="1" applyFont="1">
      <alignment horizontal="center"/>
    </xf>
    <xf borderId="0" fillId="2" fontId="10" numFmtId="166" xfId="0" applyFont="1" applyNumberFormat="1"/>
    <xf borderId="3" fillId="13" fontId="10" numFmtId="166" xfId="0" applyAlignment="1" applyBorder="1" applyFont="1" applyNumberFormat="1">
      <alignment horizontal="center"/>
    </xf>
    <xf borderId="3" fillId="2" fontId="10" numFmtId="0" xfId="0" applyAlignment="1" applyBorder="1" applyFont="1">
      <alignment horizontal="center"/>
    </xf>
    <xf borderId="0" fillId="7" fontId="13" numFmtId="0" xfId="0" applyAlignment="1" applyFont="1">
      <alignment readingOrder="0"/>
    </xf>
    <xf borderId="0" fillId="7" fontId="10" numFmtId="0" xfId="0" applyFont="1"/>
    <xf borderId="13" fillId="0" fontId="13" numFmtId="0" xfId="0" applyAlignment="1" applyBorder="1" applyFont="1">
      <alignment readingOrder="0"/>
    </xf>
    <xf borderId="14" fillId="0" fontId="13" numFmtId="0" xfId="0" applyAlignment="1" applyBorder="1" applyFont="1">
      <alignment readingOrder="0"/>
    </xf>
    <xf borderId="15" fillId="0" fontId="10" numFmtId="0" xfId="0" applyAlignment="1" applyBorder="1" applyFont="1">
      <alignment horizontal="center" readingOrder="0"/>
    </xf>
    <xf borderId="3" fillId="0" fontId="13" numFmtId="166" xfId="0" applyBorder="1" applyFont="1" applyNumberFormat="1"/>
    <xf borderId="2" fillId="9" fontId="10" numFmtId="166" xfId="0" applyBorder="1" applyFont="1" applyNumberFormat="1"/>
    <xf borderId="0" fillId="0" fontId="10" numFmtId="0" xfId="0" applyFont="1"/>
    <xf borderId="13" fillId="0" fontId="10" numFmtId="0" xfId="0" applyAlignment="1" applyBorder="1" applyFont="1">
      <alignment readingOrder="0"/>
    </xf>
    <xf borderId="14" fillId="0" fontId="10" numFmtId="0" xfId="0" applyAlignment="1" applyBorder="1" applyFont="1">
      <alignment readingOrder="0"/>
    </xf>
    <xf borderId="3" fillId="0" fontId="10" numFmtId="166" xfId="0" applyBorder="1" applyFont="1" applyNumberFormat="1"/>
    <xf borderId="16" fillId="0" fontId="10" numFmtId="0" xfId="0" applyAlignment="1" applyBorder="1" applyFont="1">
      <alignment readingOrder="0"/>
    </xf>
    <xf borderId="17" fillId="0" fontId="10" numFmtId="0" xfId="0" applyAlignment="1" applyBorder="1" applyFont="1">
      <alignment readingOrder="0"/>
    </xf>
    <xf borderId="18" fillId="0" fontId="10" numFmtId="0" xfId="0" applyAlignment="1" applyBorder="1" applyFont="1">
      <alignment horizontal="center" readingOrder="0"/>
    </xf>
    <xf borderId="19" fillId="0" fontId="10" numFmtId="166" xfId="0" applyBorder="1" applyFont="1" applyNumberFormat="1"/>
    <xf borderId="2" fillId="9" fontId="10" numFmtId="166" xfId="0" applyAlignment="1" applyBorder="1" applyFont="1" applyNumberFormat="1">
      <alignment readingOrder="0"/>
    </xf>
    <xf borderId="20" fillId="0" fontId="13" numFmtId="0" xfId="0" applyAlignment="1" applyBorder="1" applyFont="1">
      <alignment readingOrder="0"/>
    </xf>
    <xf borderId="21" fillId="0" fontId="13" numFmtId="0" xfId="0" applyAlignment="1" applyBorder="1" applyFont="1">
      <alignment readingOrder="0"/>
    </xf>
    <xf borderId="22" fillId="0" fontId="10" numFmtId="0" xfId="0" applyAlignment="1" applyBorder="1" applyFont="1">
      <alignment horizontal="center" readingOrder="0"/>
    </xf>
    <xf borderId="23" fillId="0" fontId="13" numFmtId="166" xfId="0" applyBorder="1" applyFont="1" applyNumberFormat="1"/>
    <xf borderId="2" fillId="0" fontId="13" numFmtId="166" xfId="0" applyBorder="1" applyFont="1" applyNumberFormat="1"/>
    <xf borderId="24" fillId="9" fontId="10" numFmtId="166" xfId="0" applyBorder="1" applyFont="1" applyNumberFormat="1"/>
    <xf borderId="25" fillId="9" fontId="10" numFmtId="166" xfId="0" applyBorder="1" applyFont="1" applyNumberFormat="1"/>
    <xf borderId="26" fillId="9" fontId="10" numFmtId="166" xfId="0" applyBorder="1" applyFont="1" applyNumberFormat="1"/>
    <xf borderId="10" fillId="0" fontId="10" numFmtId="0" xfId="0" applyBorder="1" applyFont="1"/>
    <xf borderId="19" fillId="0" fontId="10" numFmtId="0" xfId="0" applyAlignment="1" applyBorder="1" applyFont="1">
      <alignment readingOrder="0"/>
    </xf>
    <xf borderId="23" fillId="0" fontId="10" numFmtId="166" xfId="0" applyBorder="1" applyFont="1" applyNumberFormat="1"/>
    <xf borderId="22" fillId="0" fontId="10" numFmtId="166" xfId="0" applyBorder="1" applyFont="1" applyNumberFormat="1"/>
    <xf borderId="20" fillId="0" fontId="10" numFmtId="166" xfId="0" applyBorder="1" applyFont="1" applyNumberFormat="1"/>
    <xf borderId="0" fillId="0" fontId="13" numFmtId="0" xfId="0" applyAlignment="1" applyFont="1">
      <alignment readingOrder="0"/>
    </xf>
    <xf borderId="2" fillId="9" fontId="10" numFmtId="0" xfId="0" applyAlignment="1" applyBorder="1" applyFont="1">
      <alignment readingOrder="0"/>
    </xf>
    <xf borderId="2" fillId="9" fontId="10" numFmtId="0" xfId="0" applyBorder="1" applyFont="1"/>
    <xf borderId="14" fillId="0" fontId="17" numFmtId="0" xfId="0" applyBorder="1" applyFont="1"/>
    <xf borderId="14" fillId="0" fontId="15" numFmtId="0" xfId="0" applyAlignment="1" applyBorder="1" applyFont="1">
      <alignment horizontal="center" readingOrder="0"/>
    </xf>
    <xf borderId="14" fillId="0" fontId="10" numFmtId="0" xfId="0" applyBorder="1" applyFont="1"/>
    <xf borderId="3" fillId="0" fontId="10" numFmtId="10" xfId="0" applyBorder="1" applyFont="1" applyNumberFormat="1"/>
    <xf borderId="0" fillId="0" fontId="10" numFmtId="167" xfId="0" applyAlignment="1" applyFont="1" applyNumberFormat="1">
      <alignment readingOrder="0"/>
    </xf>
    <xf borderId="0" fillId="0" fontId="10" numFmtId="9" xfId="0" applyAlignment="1" applyFont="1" applyNumberFormat="1">
      <alignment readingOrder="0"/>
    </xf>
    <xf borderId="0" fillId="0" fontId="10" numFmtId="0" xfId="0" applyAlignment="1" applyFont="1">
      <alignment readingOrder="0"/>
    </xf>
    <xf borderId="0" fillId="0" fontId="15" numFmtId="0" xfId="0" applyAlignment="1" applyFont="1">
      <alignment horizontal="center" readingOrder="0"/>
    </xf>
    <xf borderId="0" fillId="0" fontId="10" numFmtId="0" xfId="0" applyAlignment="1" applyFont="1">
      <alignment horizontal="center" readingOrder="0"/>
    </xf>
    <xf borderId="15" fillId="0" fontId="10" numFmtId="0" xfId="0" applyBorder="1" applyFont="1"/>
    <xf borderId="13" fillId="0" fontId="10" numFmtId="0" xfId="0" applyBorder="1" applyFont="1"/>
    <xf borderId="27" fillId="14" fontId="10" numFmtId="0" xfId="0" applyAlignment="1" applyBorder="1" applyFont="1">
      <alignment readingOrder="0"/>
    </xf>
    <xf borderId="10" fillId="0" fontId="10" numFmtId="10" xfId="0" applyBorder="1" applyFont="1" applyNumberFormat="1"/>
    <xf borderId="15" fillId="0" fontId="13" numFmtId="0" xfId="0" applyBorder="1" applyFont="1"/>
    <xf borderId="13" fillId="0" fontId="13" numFmtId="0" xfId="0" applyBorder="1" applyFont="1"/>
    <xf borderId="14" fillId="0" fontId="13" numFmtId="0" xfId="0" applyBorder="1" applyFont="1"/>
    <xf borderId="15" fillId="0" fontId="18" numFmtId="0" xfId="0" applyAlignment="1" applyBorder="1" applyFont="1">
      <alignment horizontal="center" readingOrder="0"/>
    </xf>
    <xf borderId="2" fillId="14" fontId="13" numFmtId="166" xfId="0" applyBorder="1" applyFont="1" applyNumberFormat="1"/>
    <xf borderId="0" fillId="0" fontId="10" numFmtId="166" xfId="0" applyFont="1" applyNumberFormat="1"/>
    <xf borderId="0" fillId="2" fontId="15" numFmtId="0" xfId="0" applyFont="1"/>
    <xf borderId="0" fillId="0" fontId="19" numFmtId="0" xfId="0" applyAlignment="1" applyFont="1">
      <alignment readingOrder="0"/>
    </xf>
    <xf borderId="0" fillId="0" fontId="19" numFmtId="0" xfId="0" applyFont="1"/>
    <xf borderId="0" fillId="0" fontId="19" numFmtId="0" xfId="0" applyAlignment="1" applyFont="1">
      <alignment horizontal="center" readingOrder="0"/>
    </xf>
    <xf borderId="0" fillId="0" fontId="19" numFmtId="167" xfId="0" applyFont="1" applyNumberFormat="1"/>
    <xf borderId="0" fillId="2" fontId="19" numFmtId="0" xfId="0" applyFont="1"/>
    <xf borderId="0" fillId="2" fontId="15" numFmtId="166" xfId="0" applyFont="1" applyNumberFormat="1"/>
    <xf borderId="2" fillId="14" fontId="10" numFmtId="166" xfId="0" applyBorder="1" applyFont="1" applyNumberFormat="1"/>
    <xf borderId="18" fillId="0" fontId="10" numFmtId="0" xfId="0" applyBorder="1" applyFont="1"/>
    <xf borderId="16" fillId="0" fontId="10" numFmtId="0" xfId="0" applyBorder="1" applyFont="1"/>
    <xf borderId="17" fillId="0" fontId="10" numFmtId="0" xfId="0" applyBorder="1" applyFont="1"/>
    <xf borderId="18" fillId="0" fontId="15" numFmtId="0" xfId="0" applyAlignment="1" applyBorder="1" applyFont="1">
      <alignment horizontal="center" readingOrder="0"/>
    </xf>
    <xf borderId="16" fillId="0" fontId="10" numFmtId="166" xfId="0" applyBorder="1" applyFont="1" applyNumberFormat="1"/>
    <xf borderId="17" fillId="0" fontId="10" numFmtId="166" xfId="0" applyBorder="1" applyFont="1" applyNumberFormat="1"/>
    <xf borderId="18" fillId="0" fontId="10" numFmtId="166" xfId="0" applyBorder="1" applyFont="1" applyNumberFormat="1"/>
    <xf borderId="28" fillId="0" fontId="13" numFmtId="0" xfId="0" applyAlignment="1" applyBorder="1" applyFont="1">
      <alignment readingOrder="0"/>
    </xf>
    <xf borderId="28" fillId="0" fontId="13" numFmtId="0" xfId="0" applyBorder="1" applyFont="1"/>
    <xf borderId="28" fillId="0" fontId="18" numFmtId="0" xfId="0" applyAlignment="1" applyBorder="1" applyFont="1">
      <alignment horizontal="center" readingOrder="0"/>
    </xf>
    <xf borderId="28" fillId="0" fontId="13" numFmtId="166" xfId="0" applyBorder="1" applyFont="1" applyNumberFormat="1"/>
    <xf borderId="29" fillId="0" fontId="13" numFmtId="166" xfId="0" applyBorder="1" applyFont="1" applyNumberFormat="1"/>
    <xf borderId="0" fillId="0" fontId="20" numFmtId="0" xfId="0" applyFont="1"/>
    <xf borderId="0" fillId="0" fontId="20" numFmtId="10" xfId="0" applyAlignment="1" applyFont="1" applyNumberFormat="1">
      <alignment horizontal="center"/>
    </xf>
    <xf borderId="0" fillId="0" fontId="20" numFmtId="10" xfId="0" applyFont="1" applyNumberFormat="1"/>
    <xf borderId="0" fillId="2" fontId="20" numFmtId="0" xfId="0" applyFont="1"/>
    <xf borderId="0" fillId="0" fontId="20" numFmtId="9" xfId="0" applyFont="1" applyNumberFormat="1"/>
    <xf borderId="0" fillId="0" fontId="10" numFmtId="0" xfId="0" applyAlignment="1" applyFont="1">
      <alignment horizontal="center"/>
    </xf>
    <xf borderId="15" fillId="0" fontId="15" numFmtId="0" xfId="0" applyAlignment="1" applyBorder="1" applyFont="1">
      <alignment horizontal="center" readingOrder="0"/>
    </xf>
    <xf borderId="2" fillId="14" fontId="10" numFmtId="166" xfId="0" applyAlignment="1" applyBorder="1" applyFont="1" applyNumberFormat="1">
      <alignment readingOrder="0"/>
    </xf>
    <xf borderId="30" fillId="0" fontId="10" numFmtId="0" xfId="0" applyBorder="1" applyFont="1"/>
    <xf borderId="31" fillId="0" fontId="10" numFmtId="0" xfId="0" applyBorder="1" applyFont="1"/>
    <xf borderId="32" fillId="0" fontId="10" numFmtId="0" xfId="0" applyBorder="1" applyFont="1"/>
    <xf borderId="31" fillId="0" fontId="15" numFmtId="0" xfId="0" applyAlignment="1" applyBorder="1" applyFont="1">
      <alignment horizontal="center" readingOrder="0"/>
    </xf>
    <xf borderId="33" fillId="0" fontId="10" numFmtId="166" xfId="0" applyBorder="1" applyFont="1" applyNumberFormat="1"/>
    <xf borderId="34" fillId="0" fontId="13" numFmtId="0" xfId="0" applyAlignment="1" applyBorder="1" applyFont="1">
      <alignment readingOrder="0"/>
    </xf>
    <xf borderId="34" fillId="0" fontId="13" numFmtId="0" xfId="0" applyBorder="1" applyFont="1"/>
    <xf borderId="34" fillId="0" fontId="18" numFmtId="0" xfId="0" applyAlignment="1" applyBorder="1" applyFont="1">
      <alignment horizontal="center" readingOrder="0"/>
    </xf>
    <xf borderId="34" fillId="0" fontId="13" numFmtId="166" xfId="0" applyBorder="1" applyFont="1" applyNumberFormat="1"/>
    <xf borderId="0" fillId="0" fontId="10" numFmtId="2" xfId="0" applyFont="1" applyNumberFormat="1"/>
    <xf borderId="29" fillId="0" fontId="13" numFmtId="0" xfId="0" applyAlignment="1" applyBorder="1" applyFont="1">
      <alignment readingOrder="0"/>
    </xf>
    <xf borderId="29" fillId="0" fontId="10" numFmtId="0" xfId="0" applyBorder="1" applyFont="1"/>
    <xf borderId="29" fillId="0" fontId="15" numFmtId="0" xfId="0" applyAlignment="1" applyBorder="1" applyFont="1">
      <alignment horizontal="center" readingOrder="0"/>
    </xf>
    <xf borderId="0" fillId="0" fontId="20" numFmtId="0" xfId="0" applyAlignment="1" applyFont="1">
      <alignment horizontal="center" readingOrder="0"/>
    </xf>
    <xf borderId="0" fillId="2" fontId="20" numFmtId="166" xfId="0" applyFont="1" applyNumberFormat="1"/>
    <xf borderId="27" fillId="9" fontId="10" numFmtId="1" xfId="0" applyBorder="1" applyFont="1" applyNumberFormat="1"/>
    <xf borderId="19" fillId="0" fontId="10" numFmtId="10" xfId="0" applyBorder="1" applyFont="1" applyNumberFormat="1"/>
    <xf borderId="35" fillId="0" fontId="10" numFmtId="10" xfId="0" applyBorder="1" applyFont="1" applyNumberFormat="1"/>
    <xf borderId="2" fillId="5" fontId="10" numFmtId="10" xfId="0" applyAlignment="1" applyBorder="1" applyFont="1" applyNumberFormat="1">
      <alignment readingOrder="0"/>
    </xf>
    <xf borderId="15" fillId="0" fontId="10" numFmtId="166" xfId="0" applyBorder="1" applyFont="1" applyNumberFormat="1"/>
    <xf borderId="36" fillId="9" fontId="10" numFmtId="10" xfId="0" applyBorder="1" applyFont="1" applyNumberFormat="1"/>
    <xf borderId="14" fillId="0" fontId="10" numFmtId="0" xfId="0" applyAlignment="1" applyBorder="1" applyFont="1">
      <alignment horizontal="center" readingOrder="0"/>
    </xf>
    <xf borderId="2" fillId="9" fontId="10" numFmtId="10" xfId="0" applyBorder="1" applyFont="1" applyNumberFormat="1"/>
    <xf borderId="18" fillId="0" fontId="17" numFmtId="0" xfId="0" applyBorder="1" applyFont="1"/>
    <xf borderId="17" fillId="0" fontId="10" numFmtId="0" xfId="0" applyAlignment="1" applyBorder="1" applyFont="1">
      <alignment horizontal="center" readingOrder="0"/>
    </xf>
    <xf borderId="3" fillId="0" fontId="10" numFmtId="4" xfId="0" applyBorder="1" applyFont="1" applyNumberFormat="1"/>
    <xf borderId="15" fillId="0" fontId="17" numFmtId="0" xfId="0" applyBorder="1" applyFont="1"/>
    <xf borderId="3" fillId="0" fontId="10" numFmtId="4" xfId="0" applyAlignment="1" applyBorder="1" applyFont="1" applyNumberFormat="1">
      <alignment readingOrder="0"/>
    </xf>
    <xf borderId="37" fillId="0" fontId="10" numFmtId="0" xfId="0" applyAlignment="1" applyBorder="1" applyFont="1">
      <alignment readingOrder="0"/>
    </xf>
    <xf borderId="38" fillId="0" fontId="17" numFmtId="0" xfId="0" applyBorder="1" applyFont="1"/>
    <xf borderId="37" fillId="0" fontId="10" numFmtId="0" xfId="0" applyAlignment="1" applyBorder="1" applyFont="1">
      <alignment readingOrder="0"/>
    </xf>
    <xf borderId="13" fillId="0" fontId="10" numFmtId="0" xfId="0" applyAlignment="1" applyBorder="1" applyFont="1">
      <alignment readingOrder="0"/>
    </xf>
    <xf borderId="3" fillId="0" fontId="10" numFmtId="168" xfId="0" applyBorder="1" applyFont="1" applyNumberFormat="1"/>
    <xf borderId="0" fillId="3" fontId="14" numFmtId="0" xfId="0" applyAlignment="1" applyFont="1">
      <alignment horizontal="center"/>
    </xf>
    <xf borderId="3" fillId="0" fontId="10" numFmtId="0" xfId="0" applyAlignment="1" applyBorder="1" applyFont="1">
      <alignment readingOrder="0"/>
    </xf>
    <xf borderId="38" fillId="0" fontId="10" numFmtId="0" xfId="0" applyAlignment="1" applyBorder="1" applyFont="1">
      <alignment horizontal="center" readingOrder="0"/>
    </xf>
    <xf borderId="21" fillId="0" fontId="10" numFmtId="0" xfId="0" applyBorder="1" applyFont="1"/>
    <xf borderId="3" fillId="0" fontId="10" numFmtId="169" xfId="0" applyBorder="1" applyFont="1" applyNumberFormat="1"/>
    <xf borderId="0" fillId="7" fontId="10" numFmtId="0" xfId="0" applyAlignment="1" applyFont="1">
      <alignment horizontal="center"/>
    </xf>
    <xf borderId="17" fillId="0" fontId="15" numFmtId="0" xfId="0" applyAlignment="1" applyBorder="1" applyFont="1">
      <alignment horizontal="center" readingOrder="0"/>
    </xf>
    <xf borderId="21" fillId="0" fontId="15" numFmtId="0" xfId="0" applyAlignment="1" applyBorder="1" applyFont="1">
      <alignment horizontal="center" readingOrder="0"/>
    </xf>
    <xf borderId="3" fillId="0" fontId="10" numFmtId="9" xfId="0" applyBorder="1" applyFont="1" applyNumberFormat="1"/>
    <xf borderId="39" fillId="0" fontId="10" numFmtId="0" xfId="0" applyAlignment="1" applyBorder="1" applyFont="1">
      <alignment readingOrder="0"/>
    </xf>
    <xf borderId="40" fillId="0" fontId="10" numFmtId="0" xfId="0" applyBorder="1" applyFont="1"/>
    <xf borderId="41" fillId="0" fontId="10" numFmtId="0" xfId="0" applyAlignment="1" applyBorder="1" applyFont="1">
      <alignment horizontal="center" readingOrder="0"/>
    </xf>
    <xf borderId="19" fillId="0" fontId="10" numFmtId="9" xfId="0" applyBorder="1" applyFont="1" applyNumberFormat="1"/>
    <xf borderId="2" fillId="5" fontId="10" numFmtId="9" xfId="0" applyAlignment="1" applyBorder="1" applyFont="1" applyNumberFormat="1">
      <alignment readingOrder="0"/>
    </xf>
    <xf borderId="13" fillId="0" fontId="10" numFmtId="9" xfId="0" applyBorder="1" applyFont="1" applyNumberFormat="1"/>
    <xf borderId="2" fillId="5" fontId="10" numFmtId="9" xfId="0" applyBorder="1" applyFont="1" applyNumberFormat="1"/>
    <xf borderId="39" fillId="0" fontId="10" numFmtId="0" xfId="0" applyAlignment="1" applyBorder="1" applyFont="1">
      <alignment readingOrder="0"/>
    </xf>
    <xf borderId="3" fillId="0" fontId="10" numFmtId="167" xfId="0" applyBorder="1" applyFont="1" applyNumberFormat="1"/>
    <xf borderId="14" fillId="0" fontId="18" numFmtId="0" xfId="0" applyAlignment="1" applyBorder="1" applyFont="1">
      <alignment horizontal="center" readingOrder="0"/>
    </xf>
    <xf borderId="0" fillId="2" fontId="13" numFmtId="0" xfId="0" applyFont="1"/>
    <xf borderId="0" fillId="0" fontId="20" numFmtId="0" xfId="0" applyAlignment="1" applyFont="1">
      <alignment readingOrder="0"/>
    </xf>
    <xf borderId="0" fillId="0" fontId="19" numFmtId="167" xfId="0" applyAlignment="1" applyFont="1" applyNumberFormat="1">
      <alignment horizontal="right"/>
    </xf>
    <xf borderId="0" fillId="0" fontId="20" numFmtId="167" xfId="0" applyFont="1" applyNumberFormat="1"/>
    <xf borderId="30" fillId="0" fontId="10" numFmtId="0" xfId="0" applyAlignment="1" applyBorder="1" applyFont="1">
      <alignment readingOrder="0"/>
    </xf>
    <xf borderId="42" fillId="0" fontId="10" numFmtId="0" xfId="0" applyBorder="1" applyFont="1"/>
    <xf borderId="4" fillId="0" fontId="10" numFmtId="0" xfId="0" applyBorder="1" applyFont="1"/>
    <xf borderId="43" fillId="0" fontId="15" numFmtId="0" xfId="0" applyAlignment="1" applyBorder="1" applyFont="1">
      <alignment horizontal="center" readingOrder="0"/>
    </xf>
    <xf borderId="0" fillId="2" fontId="2" numFmtId="0" xfId="0" applyFont="1"/>
    <xf borderId="0" fillId="2" fontId="21" numFmtId="0" xfId="0" applyAlignment="1" applyFont="1">
      <alignment readingOrder="0"/>
    </xf>
    <xf borderId="0" fillId="7" fontId="21" numFmtId="0" xfId="0" applyAlignment="1" applyFont="1">
      <alignment readingOrder="0"/>
    </xf>
    <xf borderId="0" fillId="7" fontId="2" numFmtId="0" xfId="0" applyFont="1"/>
    <xf borderId="16" fillId="0" fontId="2" numFmtId="0" xfId="0" applyAlignment="1" applyBorder="1" applyFont="1">
      <alignment readingOrder="0"/>
    </xf>
    <xf borderId="17" fillId="0" fontId="2" numFmtId="0" xfId="0" applyBorder="1" applyFont="1"/>
    <xf borderId="18" fillId="0" fontId="2" numFmtId="0" xfId="0" applyAlignment="1" applyBorder="1" applyFont="1">
      <alignment horizontal="center" readingOrder="0"/>
    </xf>
    <xf borderId="3" fillId="0" fontId="2" numFmtId="166" xfId="0" applyBorder="1" applyFont="1" applyNumberFormat="1"/>
    <xf borderId="3" fillId="0" fontId="2" numFmtId="166" xfId="0" applyAlignment="1" applyBorder="1" applyFont="1" applyNumberFormat="1">
      <alignment readingOrder="0"/>
    </xf>
    <xf borderId="13" fillId="0" fontId="2" numFmtId="0" xfId="0" applyAlignment="1" applyBorder="1" applyFont="1">
      <alignment readingOrder="0"/>
    </xf>
    <xf borderId="14" fillId="0" fontId="2" numFmtId="0" xfId="0" applyBorder="1" applyFont="1"/>
    <xf borderId="15" fillId="0" fontId="2" numFmtId="0" xfId="0" applyAlignment="1" applyBorder="1" applyFont="1">
      <alignment horizontal="center" readingOrder="0"/>
    </xf>
    <xf borderId="37" fillId="0" fontId="2" numFmtId="0" xfId="0" applyAlignment="1" applyBorder="1" applyFont="1">
      <alignment readingOrder="0"/>
    </xf>
    <xf borderId="38" fillId="0" fontId="2" numFmtId="0" xfId="0" applyAlignment="1" applyBorder="1" applyFont="1">
      <alignment horizontal="center" readingOrder="0"/>
    </xf>
    <xf borderId="19" fillId="0" fontId="2" numFmtId="166" xfId="0" applyBorder="1" applyFont="1" applyNumberFormat="1"/>
    <xf borderId="33" fillId="0" fontId="2" numFmtId="166" xfId="0" applyBorder="1" applyFont="1" applyNumberFormat="1"/>
    <xf borderId="20" fillId="0" fontId="21" numFmtId="0" xfId="0" applyAlignment="1" applyBorder="1" applyFont="1">
      <alignment readingOrder="0"/>
    </xf>
    <xf borderId="21" fillId="0" fontId="2" numFmtId="0" xfId="0" applyBorder="1" applyFont="1"/>
    <xf borderId="22" fillId="0" fontId="2" numFmtId="0" xfId="0" applyAlignment="1" applyBorder="1" applyFont="1">
      <alignment horizontal="center" readingOrder="0"/>
    </xf>
    <xf borderId="23" fillId="0" fontId="21" numFmtId="166" xfId="0" applyBorder="1" applyFont="1" applyNumberFormat="1"/>
    <xf borderId="4" fillId="0" fontId="21" numFmtId="166" xfId="0" applyAlignment="1" applyBorder="1" applyFont="1" applyNumberFormat="1">
      <alignment readingOrder="0"/>
    </xf>
    <xf borderId="0" fillId="0" fontId="21" numFmtId="0" xfId="0" applyAlignment="1" applyFont="1">
      <alignment readingOrder="0"/>
    </xf>
    <xf borderId="0" fillId="0" fontId="2" numFmtId="0" xfId="0" applyAlignment="1" applyFont="1">
      <alignment horizontal="center"/>
    </xf>
    <xf borderId="0" fillId="0" fontId="2" numFmtId="169" xfId="0" applyFont="1" applyNumberFormat="1"/>
    <xf borderId="21" fillId="0" fontId="21" numFmtId="0" xfId="0" applyAlignment="1" applyBorder="1" applyFont="1">
      <alignment readingOrder="0"/>
    </xf>
    <xf borderId="21" fillId="0" fontId="2" numFmtId="0" xfId="0" applyAlignment="1" applyBorder="1" applyFont="1">
      <alignment horizontal="center" readingOrder="0"/>
    </xf>
    <xf borderId="21" fillId="0" fontId="21" numFmtId="166" xfId="0" applyBorder="1" applyFont="1" applyNumberFormat="1"/>
    <xf borderId="0" fillId="2" fontId="21" numFmtId="0" xfId="0" applyFont="1"/>
    <xf borderId="21" fillId="0" fontId="21" numFmtId="169" xfId="0" applyBorder="1" applyFont="1" applyNumberFormat="1"/>
    <xf borderId="0" fillId="7" fontId="2" numFmtId="0" xfId="0" applyAlignment="1" applyFont="1">
      <alignment horizontal="center"/>
    </xf>
    <xf borderId="3" fillId="0" fontId="2" numFmtId="0" xfId="0" applyBorder="1" applyFont="1"/>
    <xf borderId="3" fillId="0" fontId="2" numFmtId="0" xfId="0" applyAlignment="1" applyBorder="1" applyFont="1">
      <alignment readingOrder="0"/>
    </xf>
    <xf borderId="39" fillId="0" fontId="2" numFmtId="0" xfId="0" applyAlignment="1" applyBorder="1" applyFont="1">
      <alignment readingOrder="0"/>
    </xf>
    <xf borderId="40" fillId="0" fontId="2" numFmtId="0" xfId="0" applyBorder="1" applyFont="1"/>
    <xf borderId="3" fillId="0" fontId="2" numFmtId="10" xfId="0" applyBorder="1" applyFont="1" applyNumberFormat="1"/>
    <xf borderId="3" fillId="0" fontId="2" numFmtId="9" xfId="0" applyAlignment="1" applyBorder="1" applyFont="1" applyNumberFormat="1">
      <alignment readingOrder="0"/>
    </xf>
    <xf borderId="15" fillId="0" fontId="2" numFmtId="10" xfId="0" applyBorder="1" applyFont="1" applyNumberFormat="1"/>
    <xf borderId="13" fillId="0" fontId="2" numFmtId="0" xfId="0" applyBorder="1" applyFont="1"/>
    <xf borderId="39" fillId="0" fontId="2" numFmtId="0" xfId="0" applyBorder="1" applyFont="1"/>
    <xf borderId="3" fillId="0" fontId="2" numFmtId="9" xfId="0" applyBorder="1" applyFont="1" applyNumberFormat="1"/>
    <xf borderId="0" fillId="0" fontId="22" numFmtId="0" xfId="0" applyFont="1"/>
    <xf borderId="0" fillId="3" fontId="23" numFmtId="0" xfId="0" applyAlignment="1" applyFont="1">
      <alignment horizontal="center" readingOrder="0"/>
    </xf>
    <xf borderId="0" fillId="3" fontId="23" numFmtId="0" xfId="0" applyAlignment="1" applyFont="1">
      <alignment horizontal="center"/>
    </xf>
    <xf borderId="0" fillId="0" fontId="22" numFmtId="166" xfId="0" applyAlignment="1" applyFont="1" applyNumberFormat="1">
      <alignment horizontal="center"/>
    </xf>
    <xf borderId="29" fillId="0" fontId="24" numFmtId="0" xfId="0" applyBorder="1" applyFont="1"/>
    <xf borderId="29" fillId="0" fontId="24" numFmtId="166" xfId="0" applyAlignment="1" applyBorder="1" applyFont="1" applyNumberFormat="1">
      <alignment horizontal="center"/>
    </xf>
    <xf borderId="0" fillId="0" fontId="22" numFmtId="0" xfId="0" applyAlignment="1" applyFont="1">
      <alignment horizontal="center"/>
    </xf>
    <xf borderId="29" fillId="0" fontId="22" numFmtId="0" xfId="0" applyBorder="1" applyFont="1"/>
    <xf borderId="0" fillId="0" fontId="24" numFmtId="0" xfId="0" applyFont="1"/>
    <xf borderId="0" fillId="0" fontId="24" numFmtId="166" xfId="0" applyAlignment="1" applyFont="1" applyNumberFormat="1">
      <alignment horizontal="center"/>
    </xf>
    <xf borderId="0" fillId="0" fontId="25" numFmtId="0" xfId="0" applyFont="1"/>
    <xf borderId="0" fillId="0" fontId="25" numFmtId="167" xfId="0" applyAlignment="1" applyFont="1" applyNumberFormat="1">
      <alignment horizontal="center"/>
    </xf>
    <xf borderId="0" fillId="7" fontId="26" numFmtId="0" xfId="0" applyAlignment="1" applyFont="1">
      <alignment horizontal="left" readingOrder="0"/>
    </xf>
    <xf borderId="0" fillId="7" fontId="26" numFmtId="0" xfId="0" applyAlignment="1" applyFont="1">
      <alignment horizontal="center"/>
    </xf>
    <xf borderId="0" fillId="0" fontId="2" numFmtId="0" xfId="0" applyAlignment="1" applyFont="1">
      <alignment readingOrder="0"/>
    </xf>
    <xf borderId="0" fillId="0" fontId="2" numFmtId="3" xfId="0" applyFont="1" applyNumberFormat="1"/>
    <xf borderId="0" fillId="0" fontId="2" numFmtId="0" xfId="0" applyFont="1"/>
    <xf borderId="0" fillId="0" fontId="21" numFmtId="0" xfId="0" applyAlignment="1" applyFont="1">
      <alignment horizontal="center"/>
    </xf>
    <xf borderId="0" fillId="0" fontId="2" numFmtId="0" xfId="0" applyAlignment="1" applyFont="1">
      <alignment horizontal="left" readingOrder="0"/>
    </xf>
    <xf borderId="0" fillId="0" fontId="2" numFmtId="9" xfId="0" applyAlignment="1" applyFont="1" applyNumberFormat="1">
      <alignment horizontal="center"/>
    </xf>
    <xf borderId="0" fillId="0" fontId="2" numFmtId="166" xfId="0" applyFont="1" applyNumberFormat="1"/>
    <xf borderId="0" fillId="0" fontId="2" numFmtId="168" xfId="0" applyFont="1" applyNumberFormat="1"/>
  </cellXfs>
  <cellStyles count="1">
    <cellStyle xfId="0" name="Normal" builtinId="0"/>
  </cellStyles>
  <dxfs count="4">
    <dxf>
      <font>
        <color rgb="FF000000"/>
      </font>
      <fill>
        <patternFill patternType="solid">
          <fgColor rgb="FF000000"/>
          <bgColor rgb="FF000000"/>
        </patternFill>
      </fill>
      <border/>
    </dxf>
    <dxf>
      <font>
        <color rgb="FFFAF9FF"/>
      </font>
      <fill>
        <patternFill patternType="solid">
          <fgColor rgb="FF4F46E5"/>
          <bgColor rgb="FF4F46E5"/>
        </patternFill>
      </fill>
      <border/>
    </dxf>
    <dxf>
      <font>
        <color theme="0"/>
      </font>
      <fill>
        <patternFill patternType="solid">
          <fgColor rgb="FF4F46E5"/>
          <bgColor rgb="FF4F46E5"/>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_rels/chartEx1.xml.rels><?xml version="1.0" encoding="UTF-8" standalone="yes"?><Relationships xmlns="http://schemas.openxmlformats.org/package/2006/relationships"><Relationship Id="rId1" Type="http://schemas.microsoft.com/office/2011/relationships/chartStyle" Target="style1.xml"/><Relationship Id="rId2" Type="http://schemas.microsoft.com/office/2011/relationships/chartColorStyle" Target="colors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Dashboard!$B$51</c:f>
            </c:strRef>
          </c:tx>
          <c:spPr>
            <a:ln cmpd="sng">
              <a:solidFill>
                <a:srgbClr val="4285F4"/>
              </a:solidFill>
            </a:ln>
          </c:spPr>
          <c:marker>
            <c:symbol val="none"/>
          </c:marker>
          <c:dPt>
            <c:idx val="4"/>
            <c:marker>
              <c:symbol val="none"/>
            </c:marker>
          </c:dPt>
          <c:dLbls>
            <c:numFmt formatCode="General" sourceLinked="1"/>
            <c:txPr>
              <a:bodyPr/>
              <a:lstStyle/>
              <a:p>
                <a:pPr lvl="0">
                  <a:defRPr/>
                </a:pPr>
              </a:p>
            </c:txPr>
            <c:showLegendKey val="0"/>
            <c:showVal val="1"/>
            <c:showCatName val="0"/>
            <c:showSerName val="0"/>
            <c:showPercent val="0"/>
            <c:showBubbleSize val="0"/>
          </c:dLbls>
          <c:cat>
            <c:strRef>
              <c:f>Dashboard!$C$50:$G$50</c:f>
            </c:strRef>
          </c:cat>
          <c:val>
            <c:numRef>
              <c:f>Dashboard!$C$51:$G$51</c:f>
              <c:numCache/>
            </c:numRef>
          </c:val>
          <c:smooth val="0"/>
        </c:ser>
        <c:ser>
          <c:idx val="1"/>
          <c:order val="1"/>
          <c:tx>
            <c:strRef>
              <c:f>Dashboard!$B$52</c:f>
            </c:strRef>
          </c:tx>
          <c:spPr>
            <a:ln cmpd="sng">
              <a:solidFill>
                <a:srgbClr val="EA4335"/>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Dashboard!$C$50:$G$50</c:f>
            </c:strRef>
          </c:cat>
          <c:val>
            <c:numRef>
              <c:f>Dashboard!$C$52:$G$52</c:f>
              <c:numCache/>
            </c:numRef>
          </c:val>
          <c:smooth val="0"/>
        </c:ser>
        <c:ser>
          <c:idx val="2"/>
          <c:order val="2"/>
          <c:tx>
            <c:strRef>
              <c:f>Dashboard!$B$53</c:f>
            </c:strRef>
          </c:tx>
          <c:spPr>
            <a:ln cmpd="sng">
              <a:solidFill>
                <a:srgbClr val="20124D">
                  <a:alpha val="100000"/>
                </a:srgbClr>
              </a:solidFill>
            </a:ln>
          </c:spPr>
          <c:marker>
            <c:symbol val="none"/>
          </c:marker>
          <c:dLbls>
            <c:numFmt formatCode="General" sourceLinked="1"/>
            <c:txPr>
              <a:bodyPr/>
              <a:lstStyle/>
              <a:p>
                <a:pPr lvl="0">
                  <a:defRPr/>
                </a:pPr>
              </a:p>
            </c:txPr>
            <c:showLegendKey val="0"/>
            <c:showVal val="1"/>
            <c:showCatName val="0"/>
            <c:showSerName val="0"/>
            <c:showPercent val="0"/>
            <c:showBubbleSize val="0"/>
          </c:dLbls>
          <c:cat>
            <c:strRef>
              <c:f>Dashboard!$C$50:$G$50</c:f>
            </c:strRef>
          </c:cat>
          <c:val>
            <c:numRef>
              <c:f>Dashboard!$C$53:$G$53</c:f>
              <c:numCache/>
            </c:numRef>
          </c:val>
          <c:smooth val="0"/>
        </c:ser>
        <c:axId val="1225314662"/>
        <c:axId val="1108297595"/>
      </c:lineChart>
      <c:catAx>
        <c:axId val="12253146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08297595"/>
      </c:catAx>
      <c:valAx>
        <c:axId val="1108297595"/>
        <c:scaling>
          <c:orientation val="minMax"/>
          <c:max val="3.0"/>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25314662"/>
      </c:valAx>
    </c:plotArea>
    <c:legend>
      <c:legendPos val="r"/>
      <c:overlay val="0"/>
      <c:txPr>
        <a:bodyPr/>
        <a:lstStyle/>
        <a:p>
          <a:pPr lvl="0">
            <a:defRPr b="0">
              <a:solidFill>
                <a:srgbClr val="1A1A1A"/>
              </a:solidFill>
              <a:latin typeface="+mn-lt"/>
            </a:defRPr>
          </a:pPr>
        </a:p>
      </c:txPr>
    </c:legend>
    <c:plotVisOnly val="0"/>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strRef>
              <c:f>Dashboard!$B$56</c:f>
            </c:strRef>
          </c:tx>
          <c:spPr>
            <a:solidFill>
              <a:schemeClr val="accent1"/>
            </a:solidFill>
            <a:ln cmpd="sng">
              <a:solidFill>
                <a:srgbClr val="000000"/>
              </a:solidFill>
            </a:ln>
          </c:spPr>
          <c:dPt>
            <c:idx val="0"/>
          </c:dPt>
          <c:dPt>
            <c:idx val="4"/>
          </c:dPt>
          <c:dLbls>
            <c:numFmt formatCode="General" sourceLinked="1"/>
            <c:txPr>
              <a:bodyPr/>
              <a:lstStyle/>
              <a:p>
                <a:pPr lvl="0">
                  <a:defRPr/>
                </a:pPr>
              </a:p>
            </c:txPr>
            <c:showLegendKey val="0"/>
            <c:showVal val="1"/>
            <c:showCatName val="0"/>
            <c:showSerName val="0"/>
            <c:showPercent val="0"/>
            <c:showBubbleSize val="0"/>
          </c:dLbls>
          <c:cat>
            <c:strRef>
              <c:f>Dashboard!$C$55:$G$55</c:f>
            </c:strRef>
          </c:cat>
          <c:val>
            <c:numRef>
              <c:f>Dashboard!$C$56:$G$56</c:f>
              <c:numCache/>
            </c:numRef>
          </c:val>
        </c:ser>
        <c:ser>
          <c:idx val="1"/>
          <c:order val="1"/>
          <c:tx>
            <c:strRef>
              <c:f>Dashboard!$B$57</c:f>
            </c:strRef>
          </c:tx>
          <c:spPr>
            <a:solidFill>
              <a:srgbClr val="20124D"/>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Dashboard!$C$55:$G$55</c:f>
            </c:strRef>
          </c:cat>
          <c:val>
            <c:numRef>
              <c:f>Dashboard!$C$57:$G$57</c:f>
              <c:numCache/>
            </c:numRef>
          </c:val>
        </c:ser>
        <c:axId val="1094222557"/>
        <c:axId val="2001167508"/>
      </c:barChart>
      <c:catAx>
        <c:axId val="109422255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01167508"/>
      </c:catAx>
      <c:valAx>
        <c:axId val="200116750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94222557"/>
      </c:valAx>
      <c:lineChart>
        <c:varyColors val="0"/>
        <c:ser>
          <c:idx val="2"/>
          <c:order val="2"/>
          <c:tx>
            <c:strRef>
              <c:f>Dashboard!$B$58</c:f>
            </c:strRef>
          </c:tx>
          <c:spPr>
            <a:ln cmpd="sng">
              <a:solidFill>
                <a:srgbClr val="FBBC04"/>
              </a:solidFill>
            </a:ln>
          </c:spPr>
          <c:marker>
            <c:symbol val="none"/>
          </c:marker>
          <c:dPt>
            <c:idx val="4"/>
            <c:marker>
              <c:symbol val="none"/>
            </c:marker>
          </c:dPt>
          <c:dLbls>
            <c:numFmt formatCode="General" sourceLinked="1"/>
            <c:txPr>
              <a:bodyPr/>
              <a:lstStyle/>
              <a:p>
                <a:pPr lvl="0">
                  <a:defRPr/>
                </a:pPr>
              </a:p>
            </c:txPr>
            <c:showLegendKey val="0"/>
            <c:showVal val="1"/>
            <c:showCatName val="0"/>
            <c:showSerName val="0"/>
            <c:showPercent val="0"/>
            <c:showBubbleSize val="0"/>
          </c:dLbls>
          <c:cat>
            <c:strRef>
              <c:f>Dashboard!$C$55:$G$55</c:f>
            </c:strRef>
          </c:cat>
          <c:val>
            <c:numRef>
              <c:f>Dashboard!$C$58:$G$58</c:f>
              <c:numCache/>
            </c:numRef>
          </c:val>
          <c:smooth val="0"/>
        </c:ser>
        <c:axId val="1443942484"/>
        <c:axId val="1526171128"/>
      </c:lineChart>
      <c:catAx>
        <c:axId val="1443942484"/>
        <c:scaling>
          <c:orientation val="minMax"/>
        </c:scaling>
        <c:delete val="1"/>
        <c:axPos val="b"/>
        <c:numFmt formatCode="General" sourceLinked="1"/>
        <c:majorTickMark val="none"/>
        <c:minorTickMark val="none"/>
        <c:spPr/>
        <c:txPr>
          <a:bodyPr/>
          <a:lstStyle/>
          <a:p>
            <a:pPr lvl="0">
              <a:defRPr b="0">
                <a:solidFill>
                  <a:srgbClr val="000000"/>
                </a:solidFill>
                <a:latin typeface="+mn-lt"/>
              </a:defRPr>
            </a:pPr>
          </a:p>
        </c:txPr>
        <c:crossAx val="1526171128"/>
      </c:catAx>
      <c:valAx>
        <c:axId val="1526171128"/>
        <c:scaling>
          <c:orientation val="minMax"/>
          <c:max val="3.0"/>
        </c:scaling>
        <c:delete val="0"/>
        <c:axPos val="r"/>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1443942484"/>
        <c:crosses val="max"/>
      </c:valAx>
    </c:plotArea>
    <c:legend>
      <c:legendPos val="r"/>
      <c:overlay val="0"/>
      <c:txPr>
        <a:bodyPr/>
        <a:lstStyle/>
        <a:p>
          <a:pPr lvl="0">
            <a:defRPr b="0">
              <a:solidFill>
                <a:srgbClr val="1A1A1A"/>
              </a:solidFill>
              <a:latin typeface="+mn-lt"/>
            </a:defRPr>
          </a:pPr>
        </a:p>
      </c:txPr>
    </c:legend>
    <c:plotVisOnly val="0"/>
  </c:chart>
</c:chartSpace>
</file>

<file path=xl/charts/chartEx1.xml><?xml version="1.0" encoding="utf-8"?>
<cx:chartSpace xmlns:a="http://schemas.openxmlformats.org/drawingml/2006/main" xmlns:cx="http://schemas.microsoft.com/office/drawing/2014/chartex" xmlns:r="http://schemas.openxmlformats.org/officeDocument/2006/relationships" xmlns:mc="http://schemas.openxmlformats.org/markup-compatibility/2006" xmlns:mv="urn:schemas-microsoft-com:mac:vml" xmlns:c14="http://schemas.microsoft.com/office/drawing/2007/8/2/chart">
  <cx:chartData>
    <cx:data id="0">
      <cx:numDim type="val">
        <cx:f>Dashboard!$C$45:$C$48</cx:f>
      </cx:numDim>
      <cx:strDim type="cat">
        <cx:f>Dashboard!$B$45:$B$48</cx:f>
      </cx:strDim>
    </cx:data>
  </cx:chartData>
  <cx:chart>
    <cx:title overlay="0">
      <cx:txPr>
        <a:bodyPr/>
        <a:lstStyle/>
        <a:p>
          <a:pPr lvl="0">
            <a:defRPr b="0" sz="1200">
              <a:solidFill>
                <a:srgbClr val="312E81"/>
              </a:solidFill>
              <a:latin typeface="Roboto"/>
            </a:defRPr>
          </a:pPr>
          <a:r>
            <a:rPr b="0" sz="1200">
              <a:solidFill>
                <a:srgbClr val="312E81"/>
              </a:solidFill>
              <a:latin typeface="Roboto"/>
            </a:rPr>
            <a:t>ARR Waterfall - FY22 thru' FY26</a:t>
          </a:r>
        </a:p>
      </cx:txPr>
    </cx:title>
    <cx:plotArea>
      <cx:plotAreaRegion>
        <cx:series layoutId="waterfall" uniqueId="{1EDB4A0E-BE88-40AF-BC9E-1D9E9186921E}">
          <cx:tx>
            <cx:txData>
              <cx:f>Dashboard!$C$44</cx:f>
            </cx:txData>
          </cx:tx>
          <cx:dataLabels>
            <cx:visibility seriesName="0" categoryName="0" value="1"/>
          </cx:dataLabels>
          <cx:dataId val="0"/>
          <cx:layoutPr>
            <cx:visibility connectorLines="1"/>
            <cx:subtotals/>
          </cx:layoutPr>
        </cx:series>
      </cx:plotAreaRegion>
      <cx:axis id="0">
        <cx:catScaling gapWidth="auto"/>
        <cx:title>
          <cx:txPr>
            <a:bodyPr/>
            <a:lstStyle/>
            <a:p>
              <a:pPr lvl="0">
                <a:defRPr b="0">
                  <a:solidFill>
                    <a:srgbClr val="000000"/>
                  </a:solidFill>
                  <a:latin typeface="+mn-lt"/>
                </a:defRPr>
              </a:pPr>
              <a:r>
                <a:rPr b="0">
                  <a:solidFill>
                    <a:srgbClr val="000000"/>
                  </a:solidFill>
                  <a:latin typeface="+mn-lt"/>
                </a:rPr>
                <a:t/>
              </a:r>
            </a:p>
          </cx:txPr>
        </cx:title>
        <cx:tickLabels/>
      </cx:axis>
      <cx:axis id="1">
        <cx:valScaling max="auto" min="auto"/>
        <cx:title>
          <cx:txPr>
            <a:bodyPr/>
            <a:lstStyle/>
            <a:p>
              <a:pPr lvl="0">
                <a:defRPr b="0">
                  <a:solidFill>
                    <a:srgbClr val="312E81"/>
                  </a:solidFill>
                  <a:latin typeface="Roboto"/>
                </a:defRPr>
              </a:pPr>
              <a:r>
                <a:rPr b="0">
                  <a:solidFill>
                    <a:srgbClr val="312E81"/>
                  </a:solidFill>
                  <a:latin typeface="Roboto"/>
                </a:rPr>
                <a:t>$'000s</a:t>
              </a:r>
            </a:p>
          </cx:txPr>
        </cx:title>
        <cx:minorGridlines>
          <cx:spPr>
            <a:ln>
              <a:solidFill>
                <a:srgbClr val="CCCCCC">
                  <a:alpha val="0"/>
                </a:srgbClr>
              </a:solidFill>
            </a:ln>
          </cx:spPr>
        </cx:minorGridlines>
        <cx:tickLabels/>
      </cx:axis>
    </cx:plotArea>
  </cx:chart>
</cx:chartSpace>
</file>

<file path=xl/charts/colors1.xml><?xml version="1.0" encoding="utf-8"?>
<cs:colorStyle xmlns:a="http://schemas.openxmlformats.org/drawingml/2006/main" xmlns:cs="http://schemas.microsoft.com/office/drawing/2012/chartStyle" meth="cycle" id="10">
  <a:srgbClr val="20124D"/>
  <a:srgbClr val="20124D"/>
  <a:srgbClr val="20124D"/>
</cs:colorStyle>
</file>

<file path=xl/charts/style1.xml><?xml version="1.0" encoding="utf-8"?>
<cs:chartStyle xmlns:a="http://schemas.openxmlformats.org/drawingml/2006/main" xmlns:cs="http://schemas.microsoft.com/office/drawing/2012/chartStyle" id="395">
  <cs:axisTitle>
    <cs:lnRef idx="0"/>
    <cs:fillRef idx="0"/>
    <cs:effectRef idx="0"/>
    <cs:fontRef idx="minor"/>
  </cs:axisTitle>
  <cs:categoryAxis>
    <cs:lnRef idx="0"/>
    <cs:fillRef idx="0"/>
    <cs:effectRef idx="0"/>
    <cs:fontRef idx="minor"/>
  </cs:categoryAxis>
  <cs:chartArea>
    <cs:lnRef idx="0"/>
    <cs:fillRef idx="0"/>
    <cs:effectRef idx="0"/>
    <cs:fontRef idx="minor"/>
    <cs:spPr>
      <a:solidFill>
        <a:srgbClr val="FFFFFF"/>
      </a:solidFill>
      <a:ln cap="flat" cmpd="sng" w="9525" algn="ctr">
        <a:solidFill>
          <a:srgbClr val="000000"/>
        </a:solidFill>
      </a:ln>
    </cs:spPr>
  </cs:chartArea>
  <cs:dataLabel>
    <cs:lnRef idx="0"/>
    <cs:fillRef idx="0"/>
    <cs:effectRef idx="0"/>
    <cs:fontRef idx="minor"/>
  </cs:dataLabel>
  <cs:dataLabelCallout>
    <cs:lnRef idx="0"/>
    <cs:fillRef idx="0"/>
    <cs:effectRef idx="0"/>
    <cs:fontRef idx="minor"/>
  </cs:dataLabelCallout>
  <cs:dataPoint>
    <cs:lnRef idx="0"/>
    <cs:fillRef idx="0">
      <cs:styleClr val="isAuto"/>
    </cs:fillRef>
    <cs:effectRef idx="0"/>
    <cs:fontRef idx="minor"/>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microsoft.com/office/2014/relationships/chartEx" Target="../charts/chartEx1.xml"/><Relationship Id="rId2" Type="http://schemas.openxmlformats.org/officeDocument/2006/relationships/chart" Target="../charts/chart1.xml"/><Relationship Id="rId3"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1</xdr:row>
      <xdr:rowOff>0</xdr:rowOff>
    </xdr:from>
    <xdr:ext cx="1152525" cy="2381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609600</xdr:colOff>
      <xdr:row>3</xdr:row>
      <xdr:rowOff>9525</xdr:rowOff>
    </xdr:from>
    <xdr:ext cx="5715000" cy="1800225"/>
    <mc:AlternateContent>
      <mc:Choice Requires="cx1">
        <xdr:graphicFrame>
          <xdr:nvGraphicFramePr>
            <xdr:cNvPr id="1" name="Chart 1" title="Chart"/>
            <xdr:cNvGraphicFramePr/>
          </xdr:nvGraphicFramePr>
          <xdr:xfrm>
            <a:off x="0" y="0"/>
            <a:ext cx="0" cy="0"/>
          </xdr:xfrm>
          <a:graphic>
            <a:graphicData uri="http://schemas.microsoft.com/office/drawing/2014/chartex">
              <cx:chart r:id="rId1"/>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chart isn't available in your version of Excel. Editing this shape or saving this workbook into a different file format will permanently break the chart.
</a:t>
              </a:r>
            </a:p>
          </xdr:txBody>
        </xdr:sp>
      </mc:Fallback>
    </mc:AlternateContent>
    <xdr:clientData fLocksWithSheet="0"/>
  </xdr:oneCellAnchor>
  <xdr:oneCellAnchor>
    <xdr:from>
      <xdr:col>9</xdr:col>
      <xdr:colOff>104775</xdr:colOff>
      <xdr:row>19</xdr:row>
      <xdr:rowOff>9525</xdr:rowOff>
    </xdr:from>
    <xdr:ext cx="5715000" cy="27336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219075</xdr:colOff>
      <xdr:row>19</xdr:row>
      <xdr:rowOff>9525</xdr:rowOff>
    </xdr:from>
    <xdr:ext cx="6657975" cy="2790825"/>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3" width="2.88"/>
    <col customWidth="1" min="4" max="4" width="31.38"/>
    <col customWidth="1" min="5" max="5" width="1.75"/>
    <col customWidth="1" min="6" max="6" width="43.88"/>
    <col customWidth="1" min="7" max="7" width="2.75"/>
    <col customWidth="1" min="8" max="9" width="15.75"/>
    <col customWidth="1" min="10" max="10" width="2.13"/>
  </cols>
  <sheetData>
    <row r="1">
      <c r="A1" s="1"/>
      <c r="B1" s="1"/>
      <c r="C1" s="1"/>
      <c r="D1" s="1"/>
      <c r="E1" s="1"/>
      <c r="F1" s="1"/>
      <c r="G1" s="1"/>
      <c r="H1" s="1"/>
      <c r="I1" s="1"/>
      <c r="J1" s="1"/>
    </row>
    <row r="2" ht="18.75" customHeight="1">
      <c r="A2" s="1"/>
      <c r="B2" s="1"/>
      <c r="C2" s="1"/>
      <c r="D2" s="1"/>
      <c r="E2" s="1"/>
      <c r="F2" s="1"/>
      <c r="G2" s="1"/>
      <c r="H2" s="2"/>
      <c r="J2" s="1"/>
    </row>
    <row r="3" ht="18.75" customHeight="1">
      <c r="A3" s="1"/>
      <c r="B3" s="1"/>
      <c r="C3" s="1"/>
      <c r="D3" s="1"/>
      <c r="E3" s="1"/>
      <c r="F3" s="1"/>
      <c r="G3" s="1"/>
      <c r="J3" s="1"/>
    </row>
    <row r="4" ht="18.75" customHeight="1">
      <c r="A4" s="1"/>
      <c r="B4" s="1"/>
      <c r="C4" s="1"/>
      <c r="D4" s="1"/>
      <c r="E4" s="1"/>
      <c r="F4" s="1"/>
      <c r="G4" s="1"/>
      <c r="J4" s="1"/>
    </row>
    <row r="5">
      <c r="A5" s="1"/>
      <c r="B5" s="1"/>
      <c r="C5" s="1"/>
      <c r="D5" s="1"/>
      <c r="E5" s="1"/>
      <c r="F5" s="1"/>
      <c r="G5" s="1"/>
      <c r="H5" s="3" t="s">
        <v>0</v>
      </c>
      <c r="J5" s="1"/>
    </row>
    <row r="6" ht="93.75" customHeight="1">
      <c r="A6" s="4"/>
      <c r="B6" s="4"/>
      <c r="C6" s="4"/>
      <c r="D6" s="5" t="s">
        <v>1</v>
      </c>
      <c r="H6" s="6"/>
      <c r="J6" s="4"/>
    </row>
    <row r="7">
      <c r="A7" s="4"/>
      <c r="B7" s="4"/>
      <c r="C7" s="4"/>
      <c r="D7" s="7" t="s">
        <v>2</v>
      </c>
      <c r="H7" s="7"/>
      <c r="I7" s="4"/>
      <c r="J7" s="4"/>
    </row>
    <row r="8">
      <c r="A8" s="1"/>
      <c r="B8" s="1"/>
      <c r="C8" s="1"/>
      <c r="D8" s="1"/>
      <c r="E8" s="1"/>
      <c r="F8" s="1"/>
      <c r="G8" s="1"/>
      <c r="H8" s="1"/>
      <c r="I8" s="1"/>
      <c r="J8" s="1"/>
    </row>
    <row r="9">
      <c r="A9" s="1"/>
      <c r="B9" s="1"/>
      <c r="C9" s="1"/>
      <c r="D9" s="1"/>
      <c r="E9" s="1"/>
      <c r="F9" s="1"/>
      <c r="G9" s="1"/>
      <c r="H9" s="1"/>
      <c r="I9" s="1"/>
      <c r="J9" s="1"/>
    </row>
    <row r="10" ht="31.5" customHeight="1">
      <c r="A10" s="4"/>
      <c r="B10" s="4"/>
      <c r="C10" s="8"/>
      <c r="D10" s="9" t="s">
        <v>3</v>
      </c>
      <c r="E10" s="9"/>
      <c r="F10" s="10" t="s">
        <v>4</v>
      </c>
      <c r="G10" s="11"/>
      <c r="H10" s="4"/>
      <c r="I10" s="4"/>
      <c r="J10" s="4"/>
    </row>
    <row r="11" ht="7.5" customHeight="1">
      <c r="A11" s="4"/>
      <c r="B11" s="4"/>
      <c r="C11" s="12"/>
      <c r="D11" s="12"/>
      <c r="E11" s="12"/>
      <c r="F11" s="13"/>
      <c r="G11" s="12"/>
      <c r="H11" s="4"/>
      <c r="I11" s="4"/>
      <c r="J11" s="4"/>
    </row>
    <row r="12" ht="96.0" customHeight="1">
      <c r="A12" s="4"/>
      <c r="B12" s="4"/>
      <c r="C12" s="12"/>
      <c r="D12" s="14" t="s">
        <v>5</v>
      </c>
      <c r="E12" s="15"/>
      <c r="F12" s="16" t="s">
        <v>6</v>
      </c>
      <c r="G12" s="12"/>
      <c r="H12" s="4"/>
      <c r="I12" s="4"/>
      <c r="J12" s="4"/>
    </row>
    <row r="13" ht="47.25" customHeight="1">
      <c r="A13" s="4"/>
      <c r="B13" s="4"/>
      <c r="C13" s="12"/>
      <c r="D13" s="17" t="s">
        <v>7</v>
      </c>
      <c r="E13" s="17"/>
      <c r="F13" s="18" t="s">
        <v>8</v>
      </c>
      <c r="G13" s="12"/>
      <c r="H13" s="4"/>
      <c r="I13" s="4"/>
      <c r="J13" s="4"/>
    </row>
    <row r="14" ht="7.5" customHeight="1">
      <c r="A14" s="4"/>
      <c r="B14" s="4"/>
      <c r="C14" s="12"/>
      <c r="D14" s="12"/>
      <c r="E14" s="12"/>
      <c r="F14" s="19"/>
      <c r="G14" s="12"/>
      <c r="H14" s="4"/>
      <c r="I14" s="4"/>
      <c r="J14" s="4"/>
    </row>
    <row r="15" ht="18.75" customHeight="1">
      <c r="A15" s="4"/>
      <c r="B15" s="4"/>
      <c r="C15" s="4"/>
      <c r="D15" s="4"/>
      <c r="E15" s="4"/>
      <c r="F15" s="4"/>
      <c r="G15" s="4"/>
      <c r="H15" s="4"/>
      <c r="I15" s="4"/>
      <c r="J15" s="4"/>
    </row>
    <row r="16">
      <c r="A16" s="4"/>
      <c r="B16" s="4"/>
      <c r="C16" s="4"/>
      <c r="D16" s="4"/>
      <c r="E16" s="4"/>
      <c r="F16" s="4"/>
      <c r="G16" s="4"/>
      <c r="H16" s="4"/>
      <c r="I16" s="4"/>
      <c r="J16" s="4"/>
    </row>
    <row r="17">
      <c r="A17" s="4"/>
      <c r="B17" s="4"/>
      <c r="C17" s="4"/>
      <c r="D17" s="4"/>
      <c r="E17" s="4"/>
      <c r="F17" s="4"/>
      <c r="G17" s="4"/>
      <c r="H17" s="4"/>
      <c r="I17" s="4"/>
      <c r="J17" s="4"/>
    </row>
    <row r="18">
      <c r="A18" s="4"/>
      <c r="B18" s="4"/>
      <c r="C18" s="4"/>
      <c r="D18" s="4"/>
      <c r="E18" s="4"/>
      <c r="F18" s="4"/>
      <c r="G18" s="4"/>
      <c r="H18" s="4"/>
      <c r="I18" s="4"/>
      <c r="J18" s="4"/>
    </row>
    <row r="19">
      <c r="A19" s="4"/>
      <c r="B19" s="4"/>
      <c r="C19" s="4"/>
      <c r="D19" s="4"/>
      <c r="E19" s="4"/>
      <c r="F19" s="4"/>
      <c r="G19" s="4"/>
      <c r="H19" s="4"/>
      <c r="I19" s="4"/>
      <c r="J19" s="4"/>
    </row>
    <row r="20">
      <c r="A20" s="4"/>
      <c r="B20" s="4"/>
      <c r="C20" s="4"/>
      <c r="D20" s="4"/>
      <c r="E20" s="4"/>
      <c r="F20" s="4"/>
      <c r="G20" s="4"/>
      <c r="H20" s="4"/>
      <c r="I20" s="4"/>
      <c r="J20" s="4"/>
    </row>
    <row r="21">
      <c r="A21" s="4"/>
      <c r="B21" s="4"/>
      <c r="C21" s="4"/>
      <c r="D21" s="4"/>
      <c r="E21" s="4"/>
      <c r="F21" s="4"/>
      <c r="G21" s="4"/>
      <c r="H21" s="4"/>
      <c r="I21" s="4"/>
      <c r="J21" s="4"/>
    </row>
    <row r="22">
      <c r="A22" s="4"/>
      <c r="B22" s="4"/>
      <c r="C22" s="4"/>
      <c r="D22" s="4"/>
      <c r="E22" s="4"/>
      <c r="F22" s="4"/>
      <c r="G22" s="4"/>
      <c r="H22" s="4"/>
      <c r="I22" s="4"/>
      <c r="J22" s="4"/>
    </row>
    <row r="23">
      <c r="A23" s="4"/>
      <c r="B23" s="4"/>
      <c r="C23" s="4"/>
      <c r="D23" s="4"/>
      <c r="E23" s="4"/>
      <c r="F23" s="4"/>
      <c r="G23" s="4"/>
      <c r="H23" s="4"/>
      <c r="I23" s="4"/>
      <c r="J23" s="4"/>
    </row>
  </sheetData>
  <mergeCells count="5">
    <mergeCell ref="H2:I4"/>
    <mergeCell ref="D6:G6"/>
    <mergeCell ref="H6:I6"/>
    <mergeCell ref="D7:G7"/>
    <mergeCell ref="H5:I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7.0" topLeftCell="H1" activePane="topRight" state="frozen"/>
      <selection activeCell="I2" sqref="I2" pane="topRight"/>
    </sheetView>
  </sheetViews>
  <sheetFormatPr customHeight="1" defaultColWidth="12.63" defaultRowHeight="15.75" outlineLevelRow="1"/>
  <cols>
    <col customWidth="1" min="1" max="1" width="4.88"/>
    <col customWidth="1" min="2" max="2" width="1.5"/>
    <col customWidth="1" min="3" max="3" width="28.63"/>
    <col customWidth="1" min="4" max="4" width="16.38"/>
    <col customWidth="1" min="5" max="5" width="13.0"/>
    <col customWidth="1" min="6" max="6" width="1.13"/>
    <col customWidth="1" min="7" max="7" width="11.63"/>
    <col customWidth="1" min="14" max="14" width="6.75"/>
    <col customWidth="1" min="75" max="75" width="2.75"/>
  </cols>
  <sheetData>
    <row r="1">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row>
    <row r="2">
      <c r="A2" s="21" t="s">
        <v>9</v>
      </c>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row>
    <row r="3">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row>
    <row r="4" ht="24.0" customHeight="1">
      <c r="A4" s="22"/>
      <c r="B4" s="23" t="s">
        <v>10</v>
      </c>
      <c r="C4" s="24" t="s">
        <v>11</v>
      </c>
      <c r="F4" s="24"/>
      <c r="G4" s="25"/>
      <c r="H4" s="22"/>
      <c r="I4" s="22"/>
      <c r="J4" s="22"/>
      <c r="K4" s="22"/>
      <c r="L4" s="22"/>
      <c r="M4" s="22"/>
      <c r="N4" s="22"/>
      <c r="O4" s="22"/>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c r="BQ4" s="22"/>
      <c r="BR4" s="22"/>
      <c r="BS4" s="22"/>
      <c r="BT4" s="22"/>
      <c r="BU4" s="22"/>
      <c r="BV4" s="22"/>
      <c r="BW4" s="22"/>
    </row>
    <row r="5" ht="47.25" customHeight="1">
      <c r="A5" s="20"/>
      <c r="B5" s="26"/>
      <c r="C5" s="27" t="s">
        <v>12</v>
      </c>
      <c r="F5" s="28"/>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c r="AI5" s="20"/>
      <c r="AJ5" s="20"/>
      <c r="AK5" s="20"/>
      <c r="AL5" s="20"/>
      <c r="AM5" s="20"/>
      <c r="AN5" s="20"/>
      <c r="AO5" s="20"/>
      <c r="AP5" s="20"/>
      <c r="AQ5" s="20"/>
      <c r="AR5" s="20"/>
      <c r="AS5" s="20"/>
      <c r="AT5" s="20"/>
      <c r="AU5" s="20"/>
      <c r="AV5" s="20"/>
      <c r="AW5" s="20"/>
      <c r="AX5" s="20"/>
      <c r="AY5" s="20"/>
      <c r="AZ5" s="20"/>
      <c r="BA5" s="20"/>
      <c r="BB5" s="20"/>
      <c r="BC5" s="20"/>
      <c r="BD5" s="20"/>
      <c r="BE5" s="20"/>
      <c r="BF5" s="20"/>
      <c r="BG5" s="20"/>
      <c r="BH5" s="20"/>
      <c r="BI5" s="20"/>
      <c r="BJ5" s="20"/>
      <c r="BK5" s="20"/>
      <c r="BL5" s="20"/>
      <c r="BM5" s="20"/>
      <c r="BN5" s="20"/>
      <c r="BO5" s="20"/>
      <c r="BP5" s="20"/>
      <c r="BQ5" s="20"/>
      <c r="BR5" s="20"/>
      <c r="BS5" s="20"/>
      <c r="BT5" s="20"/>
      <c r="BU5" s="20"/>
      <c r="BV5" s="20"/>
      <c r="BW5" s="20"/>
    </row>
    <row r="6" ht="47.25" customHeight="1">
      <c r="A6" s="20"/>
      <c r="B6" s="26"/>
      <c r="C6" s="27" t="s">
        <v>13</v>
      </c>
      <c r="F6" s="28"/>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c r="AW6" s="20"/>
      <c r="AX6" s="20"/>
      <c r="AY6" s="20"/>
      <c r="AZ6" s="20"/>
      <c r="BA6" s="20"/>
      <c r="BB6" s="20"/>
      <c r="BC6" s="20"/>
      <c r="BD6" s="20"/>
      <c r="BE6" s="20"/>
      <c r="BF6" s="20"/>
      <c r="BG6" s="20"/>
      <c r="BH6" s="20"/>
      <c r="BI6" s="20"/>
      <c r="BJ6" s="20"/>
      <c r="BK6" s="20"/>
      <c r="BL6" s="20"/>
      <c r="BM6" s="20"/>
      <c r="BN6" s="20"/>
      <c r="BO6" s="20"/>
      <c r="BP6" s="20"/>
      <c r="BQ6" s="20"/>
      <c r="BR6" s="20"/>
      <c r="BS6" s="20"/>
      <c r="BT6" s="20"/>
      <c r="BU6" s="20"/>
      <c r="BV6" s="20"/>
      <c r="BW6" s="20"/>
    </row>
    <row r="7" ht="47.25" customHeight="1">
      <c r="A7" s="20"/>
      <c r="B7" s="26"/>
      <c r="C7" s="27" t="s">
        <v>14</v>
      </c>
      <c r="F7" s="28"/>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row>
    <row r="8" ht="47.25" customHeight="1">
      <c r="A8" s="20"/>
      <c r="B8" s="26"/>
      <c r="C8" s="27" t="s">
        <v>15</v>
      </c>
      <c r="F8" s="28"/>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c r="BW8" s="20"/>
    </row>
    <row r="9" ht="7.5" customHeight="1">
      <c r="A9" s="20"/>
      <c r="B9" s="29"/>
      <c r="C9" s="29"/>
      <c r="D9" s="29"/>
      <c r="E9" s="29"/>
      <c r="F9" s="29"/>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c r="AI9" s="20"/>
      <c r="AJ9" s="20"/>
      <c r="AK9" s="20"/>
      <c r="AL9" s="20"/>
      <c r="AM9" s="20"/>
      <c r="AN9" s="20"/>
      <c r="AO9" s="20"/>
      <c r="AP9" s="20"/>
      <c r="AQ9" s="20"/>
      <c r="AR9" s="20"/>
      <c r="AS9" s="20"/>
      <c r="AT9" s="20"/>
      <c r="AU9" s="20"/>
      <c r="AV9" s="20"/>
      <c r="AW9" s="20"/>
      <c r="AX9" s="20"/>
      <c r="AY9" s="20"/>
      <c r="AZ9" s="20"/>
      <c r="BA9" s="20"/>
      <c r="BB9" s="20"/>
      <c r="BC9" s="20"/>
      <c r="BD9" s="20"/>
      <c r="BE9" s="20"/>
      <c r="BF9" s="20"/>
      <c r="BG9" s="20"/>
      <c r="BH9" s="20"/>
      <c r="BI9" s="20"/>
      <c r="BJ9" s="20"/>
      <c r="BK9" s="20"/>
      <c r="BL9" s="20"/>
      <c r="BM9" s="20"/>
      <c r="BN9" s="20"/>
      <c r="BO9" s="20"/>
      <c r="BP9" s="20"/>
      <c r="BQ9" s="20"/>
      <c r="BR9" s="20"/>
      <c r="BS9" s="20"/>
      <c r="BT9" s="20"/>
      <c r="BU9" s="20"/>
      <c r="BV9" s="20"/>
      <c r="BW9" s="20"/>
    </row>
    <row r="10">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c r="BU10" s="20"/>
      <c r="BV10" s="20"/>
      <c r="BW10" s="20"/>
    </row>
    <row r="1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c r="BV11" s="20"/>
      <c r="BW11" s="20"/>
    </row>
    <row r="12" ht="18.75" customHeight="1">
      <c r="A12" s="22"/>
      <c r="B12" s="22"/>
      <c r="C12" s="30" t="s">
        <v>16</v>
      </c>
      <c r="D12" s="31"/>
      <c r="E12" s="31"/>
      <c r="F12" s="31"/>
      <c r="G12" s="30" t="s">
        <v>17</v>
      </c>
      <c r="H12" s="32"/>
      <c r="I12" s="33" t="str">
        <f t="shared" ref="I12:M12" si="1">IF(I20=1,"Actual","Forecast")</f>
        <v>Actual</v>
      </c>
      <c r="J12" s="33" t="str">
        <f t="shared" si="1"/>
        <v>Actual</v>
      </c>
      <c r="K12" s="34" t="str">
        <f t="shared" si="1"/>
        <v>Forecast</v>
      </c>
      <c r="L12" s="34" t="str">
        <f t="shared" si="1"/>
        <v>Forecast</v>
      </c>
      <c r="M12" s="34" t="str">
        <f t="shared" si="1"/>
        <v>Forecast</v>
      </c>
      <c r="N12" s="35"/>
      <c r="O12" s="36" t="str">
        <f t="shared" ref="O12:BV12" si="2">IF(O20=1,"Actual","Forecast")</f>
        <v>Actual</v>
      </c>
      <c r="P12" s="36" t="str">
        <f t="shared" si="2"/>
        <v>Actual</v>
      </c>
      <c r="Q12" s="36" t="str">
        <f t="shared" si="2"/>
        <v>Actual</v>
      </c>
      <c r="R12" s="36" t="str">
        <f t="shared" si="2"/>
        <v>Actual</v>
      </c>
      <c r="S12" s="36" t="str">
        <f t="shared" si="2"/>
        <v>Actual</v>
      </c>
      <c r="T12" s="36" t="str">
        <f t="shared" si="2"/>
        <v>Actual</v>
      </c>
      <c r="U12" s="36" t="str">
        <f t="shared" si="2"/>
        <v>Actual</v>
      </c>
      <c r="V12" s="36" t="str">
        <f t="shared" si="2"/>
        <v>Actual</v>
      </c>
      <c r="W12" s="36" t="str">
        <f t="shared" si="2"/>
        <v>Actual</v>
      </c>
      <c r="X12" s="36" t="str">
        <f t="shared" si="2"/>
        <v>Actual</v>
      </c>
      <c r="Y12" s="36" t="str">
        <f t="shared" si="2"/>
        <v>Actual</v>
      </c>
      <c r="Z12" s="36" t="str">
        <f t="shared" si="2"/>
        <v>Actual</v>
      </c>
      <c r="AA12" s="36" t="str">
        <f t="shared" si="2"/>
        <v>Actual</v>
      </c>
      <c r="AB12" s="36" t="str">
        <f t="shared" si="2"/>
        <v>Actual</v>
      </c>
      <c r="AC12" s="36" t="str">
        <f t="shared" si="2"/>
        <v>Actual</v>
      </c>
      <c r="AD12" s="36" t="str">
        <f t="shared" si="2"/>
        <v>Actual</v>
      </c>
      <c r="AE12" s="36" t="str">
        <f t="shared" si="2"/>
        <v>Actual</v>
      </c>
      <c r="AF12" s="36" t="str">
        <f t="shared" si="2"/>
        <v>Actual</v>
      </c>
      <c r="AG12" s="34" t="str">
        <f t="shared" si="2"/>
        <v>Forecast</v>
      </c>
      <c r="AH12" s="34" t="str">
        <f t="shared" si="2"/>
        <v>Forecast</v>
      </c>
      <c r="AI12" s="34" t="str">
        <f t="shared" si="2"/>
        <v>Forecast</v>
      </c>
      <c r="AJ12" s="34" t="str">
        <f t="shared" si="2"/>
        <v>Forecast</v>
      </c>
      <c r="AK12" s="34" t="str">
        <f t="shared" si="2"/>
        <v>Forecast</v>
      </c>
      <c r="AL12" s="34" t="str">
        <f t="shared" si="2"/>
        <v>Forecast</v>
      </c>
      <c r="AM12" s="34" t="str">
        <f t="shared" si="2"/>
        <v>Forecast</v>
      </c>
      <c r="AN12" s="34" t="str">
        <f t="shared" si="2"/>
        <v>Forecast</v>
      </c>
      <c r="AO12" s="34" t="str">
        <f t="shared" si="2"/>
        <v>Forecast</v>
      </c>
      <c r="AP12" s="34" t="str">
        <f t="shared" si="2"/>
        <v>Forecast</v>
      </c>
      <c r="AQ12" s="34" t="str">
        <f t="shared" si="2"/>
        <v>Forecast</v>
      </c>
      <c r="AR12" s="34" t="str">
        <f t="shared" si="2"/>
        <v>Forecast</v>
      </c>
      <c r="AS12" s="34" t="str">
        <f t="shared" si="2"/>
        <v>Forecast</v>
      </c>
      <c r="AT12" s="34" t="str">
        <f t="shared" si="2"/>
        <v>Forecast</v>
      </c>
      <c r="AU12" s="34" t="str">
        <f t="shared" si="2"/>
        <v>Forecast</v>
      </c>
      <c r="AV12" s="34" t="str">
        <f t="shared" si="2"/>
        <v>Forecast</v>
      </c>
      <c r="AW12" s="34" t="str">
        <f t="shared" si="2"/>
        <v>Forecast</v>
      </c>
      <c r="AX12" s="34" t="str">
        <f t="shared" si="2"/>
        <v>Forecast</v>
      </c>
      <c r="AY12" s="34" t="str">
        <f t="shared" si="2"/>
        <v>Forecast</v>
      </c>
      <c r="AZ12" s="34" t="str">
        <f t="shared" si="2"/>
        <v>Forecast</v>
      </c>
      <c r="BA12" s="34" t="str">
        <f t="shared" si="2"/>
        <v>Forecast</v>
      </c>
      <c r="BB12" s="34" t="str">
        <f t="shared" si="2"/>
        <v>Forecast</v>
      </c>
      <c r="BC12" s="34" t="str">
        <f t="shared" si="2"/>
        <v>Forecast</v>
      </c>
      <c r="BD12" s="34" t="str">
        <f t="shared" si="2"/>
        <v>Forecast</v>
      </c>
      <c r="BE12" s="34" t="str">
        <f t="shared" si="2"/>
        <v>Forecast</v>
      </c>
      <c r="BF12" s="34" t="str">
        <f t="shared" si="2"/>
        <v>Forecast</v>
      </c>
      <c r="BG12" s="34" t="str">
        <f t="shared" si="2"/>
        <v>Forecast</v>
      </c>
      <c r="BH12" s="34" t="str">
        <f t="shared" si="2"/>
        <v>Forecast</v>
      </c>
      <c r="BI12" s="34" t="str">
        <f t="shared" si="2"/>
        <v>Forecast</v>
      </c>
      <c r="BJ12" s="34" t="str">
        <f t="shared" si="2"/>
        <v>Forecast</v>
      </c>
      <c r="BK12" s="34" t="str">
        <f t="shared" si="2"/>
        <v>Forecast</v>
      </c>
      <c r="BL12" s="34" t="str">
        <f t="shared" si="2"/>
        <v>Forecast</v>
      </c>
      <c r="BM12" s="34" t="str">
        <f t="shared" si="2"/>
        <v>Forecast</v>
      </c>
      <c r="BN12" s="34" t="str">
        <f t="shared" si="2"/>
        <v>Forecast</v>
      </c>
      <c r="BO12" s="34" t="str">
        <f t="shared" si="2"/>
        <v>Forecast</v>
      </c>
      <c r="BP12" s="34" t="str">
        <f t="shared" si="2"/>
        <v>Forecast</v>
      </c>
      <c r="BQ12" s="34" t="str">
        <f t="shared" si="2"/>
        <v>Forecast</v>
      </c>
      <c r="BR12" s="34" t="str">
        <f t="shared" si="2"/>
        <v>Forecast</v>
      </c>
      <c r="BS12" s="34" t="str">
        <f t="shared" si="2"/>
        <v>Forecast</v>
      </c>
      <c r="BT12" s="34" t="str">
        <f t="shared" si="2"/>
        <v>Forecast</v>
      </c>
      <c r="BU12" s="34" t="str">
        <f t="shared" si="2"/>
        <v>Forecast</v>
      </c>
      <c r="BV12" s="34" t="str">
        <f t="shared" si="2"/>
        <v>Forecast</v>
      </c>
      <c r="BW12" s="37"/>
    </row>
    <row r="13" ht="18.75" customHeight="1">
      <c r="A13" s="22"/>
      <c r="B13" s="22"/>
      <c r="C13" s="32" t="s">
        <v>18</v>
      </c>
      <c r="D13" s="38">
        <v>44562.0</v>
      </c>
      <c r="E13" s="35"/>
      <c r="F13" s="35"/>
      <c r="G13" s="35"/>
      <c r="H13" s="39" t="s">
        <v>19</v>
      </c>
      <c r="I13" s="40">
        <f t="shared" ref="I13:M13" si="3">I14</f>
        <v>44562</v>
      </c>
      <c r="J13" s="41">
        <f t="shared" si="3"/>
        <v>44927</v>
      </c>
      <c r="K13" s="42">
        <f t="shared" si="3"/>
        <v>45292</v>
      </c>
      <c r="L13" s="42">
        <f t="shared" si="3"/>
        <v>45658</v>
      </c>
      <c r="M13" s="40">
        <f t="shared" si="3"/>
        <v>46023</v>
      </c>
      <c r="N13" s="35"/>
      <c r="O13" s="43">
        <f t="shared" ref="O13:BV13" si="4">O14</f>
        <v>44562</v>
      </c>
      <c r="P13" s="44">
        <f t="shared" si="4"/>
        <v>44593</v>
      </c>
      <c r="Q13" s="44">
        <f t="shared" si="4"/>
        <v>44621</v>
      </c>
      <c r="R13" s="44">
        <f t="shared" si="4"/>
        <v>44652</v>
      </c>
      <c r="S13" s="44">
        <f t="shared" si="4"/>
        <v>44682</v>
      </c>
      <c r="T13" s="44">
        <f t="shared" si="4"/>
        <v>44713</v>
      </c>
      <c r="U13" s="44">
        <f t="shared" si="4"/>
        <v>44743</v>
      </c>
      <c r="V13" s="44">
        <f t="shared" si="4"/>
        <v>44774</v>
      </c>
      <c r="W13" s="44">
        <f t="shared" si="4"/>
        <v>44805</v>
      </c>
      <c r="X13" s="44">
        <f t="shared" si="4"/>
        <v>44835</v>
      </c>
      <c r="Y13" s="44">
        <f t="shared" si="4"/>
        <v>44866</v>
      </c>
      <c r="Z13" s="44">
        <f t="shared" si="4"/>
        <v>44896</v>
      </c>
      <c r="AA13" s="44">
        <f t="shared" si="4"/>
        <v>44927</v>
      </c>
      <c r="AB13" s="44">
        <f t="shared" si="4"/>
        <v>44958</v>
      </c>
      <c r="AC13" s="44">
        <f t="shared" si="4"/>
        <v>44986</v>
      </c>
      <c r="AD13" s="44">
        <f t="shared" si="4"/>
        <v>45017</v>
      </c>
      <c r="AE13" s="44">
        <f t="shared" si="4"/>
        <v>45047</v>
      </c>
      <c r="AF13" s="44">
        <f t="shared" si="4"/>
        <v>45078</v>
      </c>
      <c r="AG13" s="44">
        <f t="shared" si="4"/>
        <v>45108</v>
      </c>
      <c r="AH13" s="44">
        <f t="shared" si="4"/>
        <v>45139</v>
      </c>
      <c r="AI13" s="44">
        <f t="shared" si="4"/>
        <v>45170</v>
      </c>
      <c r="AJ13" s="44">
        <f t="shared" si="4"/>
        <v>45200</v>
      </c>
      <c r="AK13" s="44">
        <f t="shared" si="4"/>
        <v>45231</v>
      </c>
      <c r="AL13" s="44">
        <f t="shared" si="4"/>
        <v>45261</v>
      </c>
      <c r="AM13" s="44">
        <f t="shared" si="4"/>
        <v>45292</v>
      </c>
      <c r="AN13" s="44">
        <f t="shared" si="4"/>
        <v>45323</v>
      </c>
      <c r="AO13" s="44">
        <f t="shared" si="4"/>
        <v>45352</v>
      </c>
      <c r="AP13" s="44">
        <f t="shared" si="4"/>
        <v>45383</v>
      </c>
      <c r="AQ13" s="44">
        <f t="shared" si="4"/>
        <v>45413</v>
      </c>
      <c r="AR13" s="44">
        <f t="shared" si="4"/>
        <v>45444</v>
      </c>
      <c r="AS13" s="44">
        <f t="shared" si="4"/>
        <v>45474</v>
      </c>
      <c r="AT13" s="44">
        <f t="shared" si="4"/>
        <v>45505</v>
      </c>
      <c r="AU13" s="44">
        <f t="shared" si="4"/>
        <v>45536</v>
      </c>
      <c r="AV13" s="44">
        <f t="shared" si="4"/>
        <v>45566</v>
      </c>
      <c r="AW13" s="44">
        <f t="shared" si="4"/>
        <v>45597</v>
      </c>
      <c r="AX13" s="44">
        <f t="shared" si="4"/>
        <v>45627</v>
      </c>
      <c r="AY13" s="44">
        <f t="shared" si="4"/>
        <v>45658</v>
      </c>
      <c r="AZ13" s="44">
        <f t="shared" si="4"/>
        <v>45689</v>
      </c>
      <c r="BA13" s="44">
        <f t="shared" si="4"/>
        <v>45717</v>
      </c>
      <c r="BB13" s="44">
        <f t="shared" si="4"/>
        <v>45748</v>
      </c>
      <c r="BC13" s="44">
        <f t="shared" si="4"/>
        <v>45778</v>
      </c>
      <c r="BD13" s="44">
        <f t="shared" si="4"/>
        <v>45809</v>
      </c>
      <c r="BE13" s="44">
        <f t="shared" si="4"/>
        <v>45839</v>
      </c>
      <c r="BF13" s="44">
        <f t="shared" si="4"/>
        <v>45870</v>
      </c>
      <c r="BG13" s="44">
        <f t="shared" si="4"/>
        <v>45901</v>
      </c>
      <c r="BH13" s="44">
        <f t="shared" si="4"/>
        <v>45931</v>
      </c>
      <c r="BI13" s="44">
        <f t="shared" si="4"/>
        <v>45962</v>
      </c>
      <c r="BJ13" s="44">
        <f t="shared" si="4"/>
        <v>45992</v>
      </c>
      <c r="BK13" s="44">
        <f t="shared" si="4"/>
        <v>46023</v>
      </c>
      <c r="BL13" s="44">
        <f t="shared" si="4"/>
        <v>46054</v>
      </c>
      <c r="BM13" s="44">
        <f t="shared" si="4"/>
        <v>46082</v>
      </c>
      <c r="BN13" s="44">
        <f t="shared" si="4"/>
        <v>46113</v>
      </c>
      <c r="BO13" s="44">
        <f t="shared" si="4"/>
        <v>46143</v>
      </c>
      <c r="BP13" s="44">
        <f t="shared" si="4"/>
        <v>46174</v>
      </c>
      <c r="BQ13" s="44">
        <f t="shared" si="4"/>
        <v>46204</v>
      </c>
      <c r="BR13" s="44">
        <f t="shared" si="4"/>
        <v>46235</v>
      </c>
      <c r="BS13" s="44">
        <f t="shared" si="4"/>
        <v>46266</v>
      </c>
      <c r="BT13" s="44">
        <f t="shared" si="4"/>
        <v>46296</v>
      </c>
      <c r="BU13" s="44">
        <f t="shared" si="4"/>
        <v>46327</v>
      </c>
      <c r="BV13" s="45">
        <f t="shared" si="4"/>
        <v>46357</v>
      </c>
      <c r="BW13" s="46"/>
    </row>
    <row r="14" ht="18.75" customHeight="1">
      <c r="A14" s="22"/>
      <c r="B14" s="22"/>
      <c r="C14" s="32" t="s">
        <v>20</v>
      </c>
      <c r="D14" s="38">
        <v>45107.0</v>
      </c>
      <c r="E14" s="35"/>
      <c r="F14" s="35"/>
      <c r="G14" s="35"/>
      <c r="H14" s="39" t="s">
        <v>21</v>
      </c>
      <c r="I14" s="47">
        <f>'Key Assumptions'!D13</f>
        <v>44562</v>
      </c>
      <c r="J14" s="47">
        <f t="shared" ref="J14:M14" si="5">I15+1</f>
        <v>44927</v>
      </c>
      <c r="K14" s="47">
        <f t="shared" si="5"/>
        <v>45292</v>
      </c>
      <c r="L14" s="47">
        <f t="shared" si="5"/>
        <v>45658</v>
      </c>
      <c r="M14" s="47">
        <f t="shared" si="5"/>
        <v>46023</v>
      </c>
      <c r="N14" s="35"/>
      <c r="O14" s="47">
        <f>'Key Assumptions'!D13</f>
        <v>44562</v>
      </c>
      <c r="P14" s="48">
        <f t="shared" ref="P14:BV14" si="6">O15+1</f>
        <v>44593</v>
      </c>
      <c r="Q14" s="48">
        <f t="shared" si="6"/>
        <v>44621</v>
      </c>
      <c r="R14" s="48">
        <f t="shared" si="6"/>
        <v>44652</v>
      </c>
      <c r="S14" s="48">
        <f t="shared" si="6"/>
        <v>44682</v>
      </c>
      <c r="T14" s="48">
        <f t="shared" si="6"/>
        <v>44713</v>
      </c>
      <c r="U14" s="48">
        <f t="shared" si="6"/>
        <v>44743</v>
      </c>
      <c r="V14" s="48">
        <f t="shared" si="6"/>
        <v>44774</v>
      </c>
      <c r="W14" s="48">
        <f t="shared" si="6"/>
        <v>44805</v>
      </c>
      <c r="X14" s="48">
        <f t="shared" si="6"/>
        <v>44835</v>
      </c>
      <c r="Y14" s="48">
        <f t="shared" si="6"/>
        <v>44866</v>
      </c>
      <c r="Z14" s="48">
        <f t="shared" si="6"/>
        <v>44896</v>
      </c>
      <c r="AA14" s="48">
        <f t="shared" si="6"/>
        <v>44927</v>
      </c>
      <c r="AB14" s="48">
        <f t="shared" si="6"/>
        <v>44958</v>
      </c>
      <c r="AC14" s="48">
        <f t="shared" si="6"/>
        <v>44986</v>
      </c>
      <c r="AD14" s="48">
        <f t="shared" si="6"/>
        <v>45017</v>
      </c>
      <c r="AE14" s="48">
        <f t="shared" si="6"/>
        <v>45047</v>
      </c>
      <c r="AF14" s="48">
        <f t="shared" si="6"/>
        <v>45078</v>
      </c>
      <c r="AG14" s="48">
        <f t="shared" si="6"/>
        <v>45108</v>
      </c>
      <c r="AH14" s="48">
        <f t="shared" si="6"/>
        <v>45139</v>
      </c>
      <c r="AI14" s="48">
        <f t="shared" si="6"/>
        <v>45170</v>
      </c>
      <c r="AJ14" s="48">
        <f t="shared" si="6"/>
        <v>45200</v>
      </c>
      <c r="AK14" s="48">
        <f t="shared" si="6"/>
        <v>45231</v>
      </c>
      <c r="AL14" s="48">
        <f t="shared" si="6"/>
        <v>45261</v>
      </c>
      <c r="AM14" s="48">
        <f t="shared" si="6"/>
        <v>45292</v>
      </c>
      <c r="AN14" s="48">
        <f t="shared" si="6"/>
        <v>45323</v>
      </c>
      <c r="AO14" s="48">
        <f t="shared" si="6"/>
        <v>45352</v>
      </c>
      <c r="AP14" s="48">
        <f t="shared" si="6"/>
        <v>45383</v>
      </c>
      <c r="AQ14" s="48">
        <f t="shared" si="6"/>
        <v>45413</v>
      </c>
      <c r="AR14" s="48">
        <f t="shared" si="6"/>
        <v>45444</v>
      </c>
      <c r="AS14" s="48">
        <f t="shared" si="6"/>
        <v>45474</v>
      </c>
      <c r="AT14" s="48">
        <f t="shared" si="6"/>
        <v>45505</v>
      </c>
      <c r="AU14" s="48">
        <f t="shared" si="6"/>
        <v>45536</v>
      </c>
      <c r="AV14" s="48">
        <f t="shared" si="6"/>
        <v>45566</v>
      </c>
      <c r="AW14" s="48">
        <f t="shared" si="6"/>
        <v>45597</v>
      </c>
      <c r="AX14" s="48">
        <f t="shared" si="6"/>
        <v>45627</v>
      </c>
      <c r="AY14" s="48">
        <f t="shared" si="6"/>
        <v>45658</v>
      </c>
      <c r="AZ14" s="48">
        <f t="shared" si="6"/>
        <v>45689</v>
      </c>
      <c r="BA14" s="48">
        <f t="shared" si="6"/>
        <v>45717</v>
      </c>
      <c r="BB14" s="48">
        <f t="shared" si="6"/>
        <v>45748</v>
      </c>
      <c r="BC14" s="48">
        <f t="shared" si="6"/>
        <v>45778</v>
      </c>
      <c r="BD14" s="48">
        <f t="shared" si="6"/>
        <v>45809</v>
      </c>
      <c r="BE14" s="48">
        <f t="shared" si="6"/>
        <v>45839</v>
      </c>
      <c r="BF14" s="48">
        <f t="shared" si="6"/>
        <v>45870</v>
      </c>
      <c r="BG14" s="48">
        <f t="shared" si="6"/>
        <v>45901</v>
      </c>
      <c r="BH14" s="48">
        <f t="shared" si="6"/>
        <v>45931</v>
      </c>
      <c r="BI14" s="48">
        <f t="shared" si="6"/>
        <v>45962</v>
      </c>
      <c r="BJ14" s="48">
        <f t="shared" si="6"/>
        <v>45992</v>
      </c>
      <c r="BK14" s="48">
        <f t="shared" si="6"/>
        <v>46023</v>
      </c>
      <c r="BL14" s="48">
        <f t="shared" si="6"/>
        <v>46054</v>
      </c>
      <c r="BM14" s="48">
        <f t="shared" si="6"/>
        <v>46082</v>
      </c>
      <c r="BN14" s="48">
        <f t="shared" si="6"/>
        <v>46113</v>
      </c>
      <c r="BO14" s="48">
        <f t="shared" si="6"/>
        <v>46143</v>
      </c>
      <c r="BP14" s="48">
        <f t="shared" si="6"/>
        <v>46174</v>
      </c>
      <c r="BQ14" s="48">
        <f t="shared" si="6"/>
        <v>46204</v>
      </c>
      <c r="BR14" s="48">
        <f t="shared" si="6"/>
        <v>46235</v>
      </c>
      <c r="BS14" s="48">
        <f t="shared" si="6"/>
        <v>46266</v>
      </c>
      <c r="BT14" s="48">
        <f t="shared" si="6"/>
        <v>46296</v>
      </c>
      <c r="BU14" s="48">
        <f t="shared" si="6"/>
        <v>46327</v>
      </c>
      <c r="BV14" s="48">
        <f t="shared" si="6"/>
        <v>46357</v>
      </c>
      <c r="BW14" s="49"/>
    </row>
    <row r="15" ht="18.75" customHeight="1">
      <c r="A15" s="22"/>
      <c r="B15" s="22"/>
      <c r="C15" s="32" t="s">
        <v>22</v>
      </c>
      <c r="D15" s="50">
        <f>D14+1</f>
        <v>45108</v>
      </c>
      <c r="E15" s="35"/>
      <c r="F15" s="35"/>
      <c r="G15" s="35"/>
      <c r="H15" s="39" t="s">
        <v>23</v>
      </c>
      <c r="I15" s="51">
        <f t="shared" ref="I15:M15" si="7">EOMONTH(I14,11)</f>
        <v>44926</v>
      </c>
      <c r="J15" s="51">
        <f t="shared" si="7"/>
        <v>45291</v>
      </c>
      <c r="K15" s="51">
        <f t="shared" si="7"/>
        <v>45657</v>
      </c>
      <c r="L15" s="51">
        <f t="shared" si="7"/>
        <v>46022</v>
      </c>
      <c r="M15" s="51">
        <f t="shared" si="7"/>
        <v>46387</v>
      </c>
      <c r="N15" s="35"/>
      <c r="O15" s="51">
        <f t="shared" ref="O15:BV15" si="8">EOMONTH(O14,0)</f>
        <v>44592</v>
      </c>
      <c r="P15" s="51">
        <f t="shared" si="8"/>
        <v>44620</v>
      </c>
      <c r="Q15" s="51">
        <f t="shared" si="8"/>
        <v>44651</v>
      </c>
      <c r="R15" s="51">
        <f t="shared" si="8"/>
        <v>44681</v>
      </c>
      <c r="S15" s="51">
        <f t="shared" si="8"/>
        <v>44712</v>
      </c>
      <c r="T15" s="51">
        <f t="shared" si="8"/>
        <v>44742</v>
      </c>
      <c r="U15" s="51">
        <f t="shared" si="8"/>
        <v>44773</v>
      </c>
      <c r="V15" s="51">
        <f t="shared" si="8"/>
        <v>44804</v>
      </c>
      <c r="W15" s="51">
        <f t="shared" si="8"/>
        <v>44834</v>
      </c>
      <c r="X15" s="51">
        <f t="shared" si="8"/>
        <v>44865</v>
      </c>
      <c r="Y15" s="51">
        <f t="shared" si="8"/>
        <v>44895</v>
      </c>
      <c r="Z15" s="51">
        <f t="shared" si="8"/>
        <v>44926</v>
      </c>
      <c r="AA15" s="51">
        <f t="shared" si="8"/>
        <v>44957</v>
      </c>
      <c r="AB15" s="51">
        <f t="shared" si="8"/>
        <v>44985</v>
      </c>
      <c r="AC15" s="51">
        <f t="shared" si="8"/>
        <v>45016</v>
      </c>
      <c r="AD15" s="51">
        <f t="shared" si="8"/>
        <v>45046</v>
      </c>
      <c r="AE15" s="51">
        <f t="shared" si="8"/>
        <v>45077</v>
      </c>
      <c r="AF15" s="51">
        <f t="shared" si="8"/>
        <v>45107</v>
      </c>
      <c r="AG15" s="51">
        <f t="shared" si="8"/>
        <v>45138</v>
      </c>
      <c r="AH15" s="51">
        <f t="shared" si="8"/>
        <v>45169</v>
      </c>
      <c r="AI15" s="51">
        <f t="shared" si="8"/>
        <v>45199</v>
      </c>
      <c r="AJ15" s="51">
        <f t="shared" si="8"/>
        <v>45230</v>
      </c>
      <c r="AK15" s="51">
        <f t="shared" si="8"/>
        <v>45260</v>
      </c>
      <c r="AL15" s="51">
        <f t="shared" si="8"/>
        <v>45291</v>
      </c>
      <c r="AM15" s="51">
        <f t="shared" si="8"/>
        <v>45322</v>
      </c>
      <c r="AN15" s="51">
        <f t="shared" si="8"/>
        <v>45351</v>
      </c>
      <c r="AO15" s="51">
        <f t="shared" si="8"/>
        <v>45382</v>
      </c>
      <c r="AP15" s="51">
        <f t="shared" si="8"/>
        <v>45412</v>
      </c>
      <c r="AQ15" s="51">
        <f t="shared" si="8"/>
        <v>45443</v>
      </c>
      <c r="AR15" s="51">
        <f t="shared" si="8"/>
        <v>45473</v>
      </c>
      <c r="AS15" s="51">
        <f t="shared" si="8"/>
        <v>45504</v>
      </c>
      <c r="AT15" s="51">
        <f t="shared" si="8"/>
        <v>45535</v>
      </c>
      <c r="AU15" s="51">
        <f t="shared" si="8"/>
        <v>45565</v>
      </c>
      <c r="AV15" s="51">
        <f t="shared" si="8"/>
        <v>45596</v>
      </c>
      <c r="AW15" s="51">
        <f t="shared" si="8"/>
        <v>45626</v>
      </c>
      <c r="AX15" s="51">
        <f t="shared" si="8"/>
        <v>45657</v>
      </c>
      <c r="AY15" s="51">
        <f t="shared" si="8"/>
        <v>45688</v>
      </c>
      <c r="AZ15" s="51">
        <f t="shared" si="8"/>
        <v>45716</v>
      </c>
      <c r="BA15" s="51">
        <f t="shared" si="8"/>
        <v>45747</v>
      </c>
      <c r="BB15" s="51">
        <f t="shared" si="8"/>
        <v>45777</v>
      </c>
      <c r="BC15" s="51">
        <f t="shared" si="8"/>
        <v>45808</v>
      </c>
      <c r="BD15" s="51">
        <f t="shared" si="8"/>
        <v>45838</v>
      </c>
      <c r="BE15" s="51">
        <f t="shared" si="8"/>
        <v>45869</v>
      </c>
      <c r="BF15" s="51">
        <f t="shared" si="8"/>
        <v>45900</v>
      </c>
      <c r="BG15" s="51">
        <f t="shared" si="8"/>
        <v>45930</v>
      </c>
      <c r="BH15" s="51">
        <f t="shared" si="8"/>
        <v>45961</v>
      </c>
      <c r="BI15" s="51">
        <f t="shared" si="8"/>
        <v>45991</v>
      </c>
      <c r="BJ15" s="51">
        <f t="shared" si="8"/>
        <v>46022</v>
      </c>
      <c r="BK15" s="51">
        <f t="shared" si="8"/>
        <v>46053</v>
      </c>
      <c r="BL15" s="51">
        <f t="shared" si="8"/>
        <v>46081</v>
      </c>
      <c r="BM15" s="51">
        <f t="shared" si="8"/>
        <v>46112</v>
      </c>
      <c r="BN15" s="51">
        <f t="shared" si="8"/>
        <v>46142</v>
      </c>
      <c r="BO15" s="51">
        <f t="shared" si="8"/>
        <v>46173</v>
      </c>
      <c r="BP15" s="51">
        <f t="shared" si="8"/>
        <v>46203</v>
      </c>
      <c r="BQ15" s="51">
        <f t="shared" si="8"/>
        <v>46234</v>
      </c>
      <c r="BR15" s="51">
        <f t="shared" si="8"/>
        <v>46265</v>
      </c>
      <c r="BS15" s="51">
        <f t="shared" si="8"/>
        <v>46295</v>
      </c>
      <c r="BT15" s="51">
        <f t="shared" si="8"/>
        <v>46326</v>
      </c>
      <c r="BU15" s="51">
        <f t="shared" si="8"/>
        <v>46356</v>
      </c>
      <c r="BV15" s="51">
        <f t="shared" si="8"/>
        <v>46387</v>
      </c>
      <c r="BW15" s="49"/>
    </row>
    <row r="16" ht="18.75" customHeight="1">
      <c r="A16" s="22"/>
      <c r="B16" s="22"/>
      <c r="C16" s="32" t="s">
        <v>24</v>
      </c>
      <c r="D16" s="50">
        <f>EOMONTH(D13,59)</f>
        <v>46387</v>
      </c>
      <c r="E16" s="35"/>
      <c r="F16" s="35"/>
      <c r="G16" s="35"/>
      <c r="H16" s="39" t="s">
        <v>25</v>
      </c>
      <c r="I16" s="52" t="str">
        <f t="shared" ref="I16:M16" si="9">IF(I15-I14&gt;35,"Annual","Monthly")</f>
        <v>Annual</v>
      </c>
      <c r="J16" s="52" t="str">
        <f t="shared" si="9"/>
        <v>Annual</v>
      </c>
      <c r="K16" s="52" t="str">
        <f t="shared" si="9"/>
        <v>Annual</v>
      </c>
      <c r="L16" s="52" t="str">
        <f t="shared" si="9"/>
        <v>Annual</v>
      </c>
      <c r="M16" s="52" t="str">
        <f t="shared" si="9"/>
        <v>Annual</v>
      </c>
      <c r="N16" s="49"/>
      <c r="O16" s="52" t="str">
        <f t="shared" ref="O16:BV16" si="10">IF(O15-O14&gt;35,"Annual","Monthly")</f>
        <v>Monthly</v>
      </c>
      <c r="P16" s="52" t="str">
        <f t="shared" si="10"/>
        <v>Monthly</v>
      </c>
      <c r="Q16" s="52" t="str">
        <f t="shared" si="10"/>
        <v>Monthly</v>
      </c>
      <c r="R16" s="52" t="str">
        <f t="shared" si="10"/>
        <v>Monthly</v>
      </c>
      <c r="S16" s="52" t="str">
        <f t="shared" si="10"/>
        <v>Monthly</v>
      </c>
      <c r="T16" s="52" t="str">
        <f t="shared" si="10"/>
        <v>Monthly</v>
      </c>
      <c r="U16" s="52" t="str">
        <f t="shared" si="10"/>
        <v>Monthly</v>
      </c>
      <c r="V16" s="52" t="str">
        <f t="shared" si="10"/>
        <v>Monthly</v>
      </c>
      <c r="W16" s="52" t="str">
        <f t="shared" si="10"/>
        <v>Monthly</v>
      </c>
      <c r="X16" s="52" t="str">
        <f t="shared" si="10"/>
        <v>Monthly</v>
      </c>
      <c r="Y16" s="52" t="str">
        <f t="shared" si="10"/>
        <v>Monthly</v>
      </c>
      <c r="Z16" s="52" t="str">
        <f t="shared" si="10"/>
        <v>Monthly</v>
      </c>
      <c r="AA16" s="52" t="str">
        <f t="shared" si="10"/>
        <v>Monthly</v>
      </c>
      <c r="AB16" s="52" t="str">
        <f t="shared" si="10"/>
        <v>Monthly</v>
      </c>
      <c r="AC16" s="52" t="str">
        <f t="shared" si="10"/>
        <v>Monthly</v>
      </c>
      <c r="AD16" s="52" t="str">
        <f t="shared" si="10"/>
        <v>Monthly</v>
      </c>
      <c r="AE16" s="52" t="str">
        <f t="shared" si="10"/>
        <v>Monthly</v>
      </c>
      <c r="AF16" s="52" t="str">
        <f t="shared" si="10"/>
        <v>Monthly</v>
      </c>
      <c r="AG16" s="52" t="str">
        <f t="shared" si="10"/>
        <v>Monthly</v>
      </c>
      <c r="AH16" s="52" t="str">
        <f t="shared" si="10"/>
        <v>Monthly</v>
      </c>
      <c r="AI16" s="52" t="str">
        <f t="shared" si="10"/>
        <v>Monthly</v>
      </c>
      <c r="AJ16" s="52" t="str">
        <f t="shared" si="10"/>
        <v>Monthly</v>
      </c>
      <c r="AK16" s="52" t="str">
        <f t="shared" si="10"/>
        <v>Monthly</v>
      </c>
      <c r="AL16" s="52" t="str">
        <f t="shared" si="10"/>
        <v>Monthly</v>
      </c>
      <c r="AM16" s="52" t="str">
        <f t="shared" si="10"/>
        <v>Monthly</v>
      </c>
      <c r="AN16" s="52" t="str">
        <f t="shared" si="10"/>
        <v>Monthly</v>
      </c>
      <c r="AO16" s="52" t="str">
        <f t="shared" si="10"/>
        <v>Monthly</v>
      </c>
      <c r="AP16" s="52" t="str">
        <f t="shared" si="10"/>
        <v>Monthly</v>
      </c>
      <c r="AQ16" s="52" t="str">
        <f t="shared" si="10"/>
        <v>Monthly</v>
      </c>
      <c r="AR16" s="52" t="str">
        <f t="shared" si="10"/>
        <v>Monthly</v>
      </c>
      <c r="AS16" s="52" t="str">
        <f t="shared" si="10"/>
        <v>Monthly</v>
      </c>
      <c r="AT16" s="52" t="str">
        <f t="shared" si="10"/>
        <v>Monthly</v>
      </c>
      <c r="AU16" s="52" t="str">
        <f t="shared" si="10"/>
        <v>Monthly</v>
      </c>
      <c r="AV16" s="52" t="str">
        <f t="shared" si="10"/>
        <v>Monthly</v>
      </c>
      <c r="AW16" s="52" t="str">
        <f t="shared" si="10"/>
        <v>Monthly</v>
      </c>
      <c r="AX16" s="52" t="str">
        <f t="shared" si="10"/>
        <v>Monthly</v>
      </c>
      <c r="AY16" s="52" t="str">
        <f t="shared" si="10"/>
        <v>Monthly</v>
      </c>
      <c r="AZ16" s="52" t="str">
        <f t="shared" si="10"/>
        <v>Monthly</v>
      </c>
      <c r="BA16" s="52" t="str">
        <f t="shared" si="10"/>
        <v>Monthly</v>
      </c>
      <c r="BB16" s="52" t="str">
        <f t="shared" si="10"/>
        <v>Monthly</v>
      </c>
      <c r="BC16" s="52" t="str">
        <f t="shared" si="10"/>
        <v>Monthly</v>
      </c>
      <c r="BD16" s="52" t="str">
        <f t="shared" si="10"/>
        <v>Monthly</v>
      </c>
      <c r="BE16" s="52" t="str">
        <f t="shared" si="10"/>
        <v>Monthly</v>
      </c>
      <c r="BF16" s="52" t="str">
        <f t="shared" si="10"/>
        <v>Monthly</v>
      </c>
      <c r="BG16" s="52" t="str">
        <f t="shared" si="10"/>
        <v>Monthly</v>
      </c>
      <c r="BH16" s="52" t="str">
        <f t="shared" si="10"/>
        <v>Monthly</v>
      </c>
      <c r="BI16" s="52" t="str">
        <f t="shared" si="10"/>
        <v>Monthly</v>
      </c>
      <c r="BJ16" s="52" t="str">
        <f t="shared" si="10"/>
        <v>Monthly</v>
      </c>
      <c r="BK16" s="52" t="str">
        <f t="shared" si="10"/>
        <v>Monthly</v>
      </c>
      <c r="BL16" s="52" t="str">
        <f t="shared" si="10"/>
        <v>Monthly</v>
      </c>
      <c r="BM16" s="52" t="str">
        <f t="shared" si="10"/>
        <v>Monthly</v>
      </c>
      <c r="BN16" s="52" t="str">
        <f t="shared" si="10"/>
        <v>Monthly</v>
      </c>
      <c r="BO16" s="52" t="str">
        <f t="shared" si="10"/>
        <v>Monthly</v>
      </c>
      <c r="BP16" s="52" t="str">
        <f t="shared" si="10"/>
        <v>Monthly</v>
      </c>
      <c r="BQ16" s="52" t="str">
        <f t="shared" si="10"/>
        <v>Monthly</v>
      </c>
      <c r="BR16" s="52" t="str">
        <f t="shared" si="10"/>
        <v>Monthly</v>
      </c>
      <c r="BS16" s="52" t="str">
        <f t="shared" si="10"/>
        <v>Monthly</v>
      </c>
      <c r="BT16" s="52" t="str">
        <f t="shared" si="10"/>
        <v>Monthly</v>
      </c>
      <c r="BU16" s="52" t="str">
        <f t="shared" si="10"/>
        <v>Monthly</v>
      </c>
      <c r="BV16" s="52" t="str">
        <f t="shared" si="10"/>
        <v>Monthly</v>
      </c>
      <c r="BW16" s="49"/>
    </row>
    <row r="17" ht="18.75" customHeight="1">
      <c r="A17" s="22"/>
      <c r="B17" s="22"/>
      <c r="C17" s="35"/>
      <c r="D17" s="35"/>
      <c r="E17" s="35"/>
      <c r="F17" s="35"/>
      <c r="G17" s="35"/>
      <c r="H17" s="39" t="s">
        <v>26</v>
      </c>
      <c r="I17" s="52">
        <f t="shared" ref="I17:M17" si="11">YEAR(I14)</f>
        <v>2022</v>
      </c>
      <c r="J17" s="52">
        <f t="shared" si="11"/>
        <v>2023</v>
      </c>
      <c r="K17" s="52">
        <f t="shared" si="11"/>
        <v>2024</v>
      </c>
      <c r="L17" s="52">
        <f t="shared" si="11"/>
        <v>2025</v>
      </c>
      <c r="M17" s="52">
        <f t="shared" si="11"/>
        <v>2026</v>
      </c>
      <c r="N17" s="49"/>
      <c r="O17" s="52">
        <f t="shared" ref="O17:BV17" si="12">YEAR(O14)</f>
        <v>2022</v>
      </c>
      <c r="P17" s="52">
        <f t="shared" si="12"/>
        <v>2022</v>
      </c>
      <c r="Q17" s="52">
        <f t="shared" si="12"/>
        <v>2022</v>
      </c>
      <c r="R17" s="52">
        <f t="shared" si="12"/>
        <v>2022</v>
      </c>
      <c r="S17" s="52">
        <f t="shared" si="12"/>
        <v>2022</v>
      </c>
      <c r="T17" s="52">
        <f t="shared" si="12"/>
        <v>2022</v>
      </c>
      <c r="U17" s="52">
        <f t="shared" si="12"/>
        <v>2022</v>
      </c>
      <c r="V17" s="52">
        <f t="shared" si="12"/>
        <v>2022</v>
      </c>
      <c r="W17" s="52">
        <f t="shared" si="12"/>
        <v>2022</v>
      </c>
      <c r="X17" s="52">
        <f t="shared" si="12"/>
        <v>2022</v>
      </c>
      <c r="Y17" s="52">
        <f t="shared" si="12"/>
        <v>2022</v>
      </c>
      <c r="Z17" s="52">
        <f t="shared" si="12"/>
        <v>2022</v>
      </c>
      <c r="AA17" s="52">
        <f t="shared" si="12"/>
        <v>2023</v>
      </c>
      <c r="AB17" s="52">
        <f t="shared" si="12"/>
        <v>2023</v>
      </c>
      <c r="AC17" s="52">
        <f t="shared" si="12"/>
        <v>2023</v>
      </c>
      <c r="AD17" s="52">
        <f t="shared" si="12"/>
        <v>2023</v>
      </c>
      <c r="AE17" s="52">
        <f t="shared" si="12"/>
        <v>2023</v>
      </c>
      <c r="AF17" s="52">
        <f t="shared" si="12"/>
        <v>2023</v>
      </c>
      <c r="AG17" s="52">
        <f t="shared" si="12"/>
        <v>2023</v>
      </c>
      <c r="AH17" s="52">
        <f t="shared" si="12"/>
        <v>2023</v>
      </c>
      <c r="AI17" s="52">
        <f t="shared" si="12"/>
        <v>2023</v>
      </c>
      <c r="AJ17" s="52">
        <f t="shared" si="12"/>
        <v>2023</v>
      </c>
      <c r="AK17" s="52">
        <f t="shared" si="12"/>
        <v>2023</v>
      </c>
      <c r="AL17" s="52">
        <f t="shared" si="12"/>
        <v>2023</v>
      </c>
      <c r="AM17" s="52">
        <f t="shared" si="12"/>
        <v>2024</v>
      </c>
      <c r="AN17" s="52">
        <f t="shared" si="12"/>
        <v>2024</v>
      </c>
      <c r="AO17" s="52">
        <f t="shared" si="12"/>
        <v>2024</v>
      </c>
      <c r="AP17" s="52">
        <f t="shared" si="12"/>
        <v>2024</v>
      </c>
      <c r="AQ17" s="52">
        <f t="shared" si="12"/>
        <v>2024</v>
      </c>
      <c r="AR17" s="52">
        <f t="shared" si="12"/>
        <v>2024</v>
      </c>
      <c r="AS17" s="52">
        <f t="shared" si="12"/>
        <v>2024</v>
      </c>
      <c r="AT17" s="52">
        <f t="shared" si="12"/>
        <v>2024</v>
      </c>
      <c r="AU17" s="52">
        <f t="shared" si="12"/>
        <v>2024</v>
      </c>
      <c r="AV17" s="52">
        <f t="shared" si="12"/>
        <v>2024</v>
      </c>
      <c r="AW17" s="52">
        <f t="shared" si="12"/>
        <v>2024</v>
      </c>
      <c r="AX17" s="52">
        <f t="shared" si="12"/>
        <v>2024</v>
      </c>
      <c r="AY17" s="52">
        <f t="shared" si="12"/>
        <v>2025</v>
      </c>
      <c r="AZ17" s="52">
        <f t="shared" si="12"/>
        <v>2025</v>
      </c>
      <c r="BA17" s="52">
        <f t="shared" si="12"/>
        <v>2025</v>
      </c>
      <c r="BB17" s="52">
        <f t="shared" si="12"/>
        <v>2025</v>
      </c>
      <c r="BC17" s="52">
        <f t="shared" si="12"/>
        <v>2025</v>
      </c>
      <c r="BD17" s="52">
        <f t="shared" si="12"/>
        <v>2025</v>
      </c>
      <c r="BE17" s="52">
        <f t="shared" si="12"/>
        <v>2025</v>
      </c>
      <c r="BF17" s="52">
        <f t="shared" si="12"/>
        <v>2025</v>
      </c>
      <c r="BG17" s="52">
        <f t="shared" si="12"/>
        <v>2025</v>
      </c>
      <c r="BH17" s="52">
        <f t="shared" si="12"/>
        <v>2025</v>
      </c>
      <c r="BI17" s="52">
        <f t="shared" si="12"/>
        <v>2025</v>
      </c>
      <c r="BJ17" s="52">
        <f t="shared" si="12"/>
        <v>2025</v>
      </c>
      <c r="BK17" s="52">
        <f t="shared" si="12"/>
        <v>2026</v>
      </c>
      <c r="BL17" s="52">
        <f t="shared" si="12"/>
        <v>2026</v>
      </c>
      <c r="BM17" s="52">
        <f t="shared" si="12"/>
        <v>2026</v>
      </c>
      <c r="BN17" s="52">
        <f t="shared" si="12"/>
        <v>2026</v>
      </c>
      <c r="BO17" s="52">
        <f t="shared" si="12"/>
        <v>2026</v>
      </c>
      <c r="BP17" s="52">
        <f t="shared" si="12"/>
        <v>2026</v>
      </c>
      <c r="BQ17" s="52">
        <f t="shared" si="12"/>
        <v>2026</v>
      </c>
      <c r="BR17" s="52">
        <f t="shared" si="12"/>
        <v>2026</v>
      </c>
      <c r="BS17" s="52">
        <f t="shared" si="12"/>
        <v>2026</v>
      </c>
      <c r="BT17" s="52">
        <f t="shared" si="12"/>
        <v>2026</v>
      </c>
      <c r="BU17" s="52">
        <f t="shared" si="12"/>
        <v>2026</v>
      </c>
      <c r="BV17" s="52">
        <f t="shared" si="12"/>
        <v>2026</v>
      </c>
      <c r="BW17" s="49"/>
    </row>
    <row r="18" ht="18.75" customHeight="1" collapsed="1">
      <c r="A18" s="22"/>
      <c r="B18" s="22"/>
      <c r="C18" s="35"/>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row>
    <row r="19" ht="18.75" hidden="1" customHeight="1" outlineLevel="1">
      <c r="A19" s="22"/>
      <c r="B19" s="22"/>
      <c r="C19" s="35"/>
      <c r="D19" s="35"/>
      <c r="E19" s="35"/>
      <c r="F19" s="35"/>
      <c r="G19" s="35"/>
      <c r="H19" s="53" t="s">
        <v>27</v>
      </c>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4"/>
      <c r="BJ19" s="54"/>
      <c r="BK19" s="54"/>
      <c r="BL19" s="54"/>
      <c r="BM19" s="54"/>
      <c r="BN19" s="54"/>
      <c r="BO19" s="54"/>
      <c r="BP19" s="54"/>
      <c r="BQ19" s="54"/>
      <c r="BR19" s="54"/>
      <c r="BS19" s="54"/>
      <c r="BT19" s="54"/>
      <c r="BU19" s="54"/>
      <c r="BV19" s="54"/>
      <c r="BW19" s="55"/>
    </row>
    <row r="20" ht="18.75" hidden="1" customHeight="1" outlineLevel="1">
      <c r="A20" s="22"/>
      <c r="B20" s="22"/>
      <c r="C20" s="35"/>
      <c r="D20" s="35"/>
      <c r="E20" s="35"/>
      <c r="F20" s="35"/>
      <c r="G20" s="35"/>
      <c r="H20" s="56" t="s">
        <v>28</v>
      </c>
      <c r="I20" s="57">
        <f>IF(AND(I14&gt;='Key Assumptions'!$D$13,I14&lt;'Key Assumptions'!$D$14),1,0)</f>
        <v>1</v>
      </c>
      <c r="J20" s="57">
        <f>IF(AND(J14&gt;='Key Assumptions'!$D$13,J14&lt;'Key Assumptions'!$D$14),1,0)</f>
        <v>1</v>
      </c>
      <c r="K20" s="57">
        <f>IF(AND(K14&gt;='Key Assumptions'!$D$13,K14&lt;'Key Assumptions'!$D$14),1,0)</f>
        <v>0</v>
      </c>
      <c r="L20" s="57">
        <f>IF(AND(L14&gt;='Key Assumptions'!$D$13,L14&lt;'Key Assumptions'!$D$14),1,0)</f>
        <v>0</v>
      </c>
      <c r="M20" s="57">
        <f>IF(AND(M14&gt;='Key Assumptions'!$D$13,M14&lt;'Key Assumptions'!$D$14),1,0)</f>
        <v>0</v>
      </c>
      <c r="N20" s="58"/>
      <c r="O20" s="57">
        <f>IF(AND(O14&gt;='Key Assumptions'!$D$13,O14&lt;'Key Assumptions'!$D$14),1,0)</f>
        <v>1</v>
      </c>
      <c r="P20" s="57">
        <f>IF(AND(P14&gt;='Key Assumptions'!$D$13,P14&lt;'Key Assumptions'!$D$14),1,0)</f>
        <v>1</v>
      </c>
      <c r="Q20" s="57">
        <f>IF(AND(Q14&gt;='Key Assumptions'!$D$13,Q14&lt;'Key Assumptions'!$D$14),1,0)</f>
        <v>1</v>
      </c>
      <c r="R20" s="57">
        <f>IF(AND(R14&gt;='Key Assumptions'!$D$13,R14&lt;'Key Assumptions'!$D$14),1,0)</f>
        <v>1</v>
      </c>
      <c r="S20" s="57">
        <f>IF(AND(S14&gt;='Key Assumptions'!$D$13,S14&lt;'Key Assumptions'!$D$14),1,0)</f>
        <v>1</v>
      </c>
      <c r="T20" s="57">
        <f>IF(AND(T14&gt;='Key Assumptions'!$D$13,T14&lt;'Key Assumptions'!$D$14),1,0)</f>
        <v>1</v>
      </c>
      <c r="U20" s="57">
        <f>IF(AND(U14&gt;='Key Assumptions'!$D$13,U14&lt;'Key Assumptions'!$D$14),1,0)</f>
        <v>1</v>
      </c>
      <c r="V20" s="57">
        <f>IF(AND(V14&gt;='Key Assumptions'!$D$13,V14&lt;'Key Assumptions'!$D$14),1,0)</f>
        <v>1</v>
      </c>
      <c r="W20" s="57">
        <f>IF(AND(W14&gt;='Key Assumptions'!$D$13,W14&lt;'Key Assumptions'!$D$14),1,0)</f>
        <v>1</v>
      </c>
      <c r="X20" s="57">
        <f>IF(AND(X14&gt;='Key Assumptions'!$D$13,X14&lt;'Key Assumptions'!$D$14),1,0)</f>
        <v>1</v>
      </c>
      <c r="Y20" s="57">
        <f>IF(AND(Y14&gt;='Key Assumptions'!$D$13,Y14&lt;'Key Assumptions'!$D$14),1,0)</f>
        <v>1</v>
      </c>
      <c r="Z20" s="57">
        <f>IF(AND(Z14&gt;='Key Assumptions'!$D$13,Z14&lt;'Key Assumptions'!$D$14),1,0)</f>
        <v>1</v>
      </c>
      <c r="AA20" s="57">
        <f>IF(AND(AA14&gt;='Key Assumptions'!$D$13,AA14&lt;'Key Assumptions'!$D$14),1,0)</f>
        <v>1</v>
      </c>
      <c r="AB20" s="57">
        <f>IF(AND(AB14&gt;='Key Assumptions'!$D$13,AB14&lt;'Key Assumptions'!$D$14),1,0)</f>
        <v>1</v>
      </c>
      <c r="AC20" s="57">
        <f>IF(AND(AC14&gt;='Key Assumptions'!$D$13,AC14&lt;'Key Assumptions'!$D$14),1,0)</f>
        <v>1</v>
      </c>
      <c r="AD20" s="57">
        <f>IF(AND(AD14&gt;='Key Assumptions'!$D$13,AD14&lt;'Key Assumptions'!$D$14),1,0)</f>
        <v>1</v>
      </c>
      <c r="AE20" s="57">
        <f>IF(AND(AE14&gt;='Key Assumptions'!$D$13,AE14&lt;'Key Assumptions'!$D$14),1,0)</f>
        <v>1</v>
      </c>
      <c r="AF20" s="57">
        <f>IF(AND(AF14&gt;='Key Assumptions'!$D$13,AF14&lt;'Key Assumptions'!$D$14),1,0)</f>
        <v>1</v>
      </c>
      <c r="AG20" s="57">
        <f>IF(AND(AG14&gt;='Key Assumptions'!$D$13,AG14&lt;'Key Assumptions'!$D$14),1,0)</f>
        <v>0</v>
      </c>
      <c r="AH20" s="57">
        <f>IF(AND(AH14&gt;='Key Assumptions'!$D$13,AH14&lt;'Key Assumptions'!$D$14),1,0)</f>
        <v>0</v>
      </c>
      <c r="AI20" s="57">
        <f>IF(AND(AI14&gt;='Key Assumptions'!$D$13,AI14&lt;'Key Assumptions'!$D$14),1,0)</f>
        <v>0</v>
      </c>
      <c r="AJ20" s="57">
        <f>IF(AND(AJ14&gt;='Key Assumptions'!$D$13,AJ14&lt;'Key Assumptions'!$D$14),1,0)</f>
        <v>0</v>
      </c>
      <c r="AK20" s="57">
        <f>IF(AND(AK14&gt;='Key Assumptions'!$D$13,AK14&lt;'Key Assumptions'!$D$14),1,0)</f>
        <v>0</v>
      </c>
      <c r="AL20" s="57">
        <f>IF(AND(AL14&gt;='Key Assumptions'!$D$13,AL14&lt;'Key Assumptions'!$D$14),1,0)</f>
        <v>0</v>
      </c>
      <c r="AM20" s="57">
        <f>IF(AND(AM14&gt;='Key Assumptions'!$D$13,AM14&lt;'Key Assumptions'!$D$14),1,0)</f>
        <v>0</v>
      </c>
      <c r="AN20" s="57">
        <f>IF(AND(AN14&gt;='Key Assumptions'!$D$13,AN14&lt;'Key Assumptions'!$D$14),1,0)</f>
        <v>0</v>
      </c>
      <c r="AO20" s="57">
        <f>IF(AND(AO14&gt;='Key Assumptions'!$D$13,AO14&lt;'Key Assumptions'!$D$14),1,0)</f>
        <v>0</v>
      </c>
      <c r="AP20" s="57">
        <f>IF(AND(AP14&gt;='Key Assumptions'!$D$13,AP14&lt;'Key Assumptions'!$D$14),1,0)</f>
        <v>0</v>
      </c>
      <c r="AQ20" s="57">
        <f>IF(AND(AQ14&gt;='Key Assumptions'!$D$13,AQ14&lt;'Key Assumptions'!$D$14),1,0)</f>
        <v>0</v>
      </c>
      <c r="AR20" s="57">
        <f>IF(AND(AR14&gt;='Key Assumptions'!$D$13,AR14&lt;'Key Assumptions'!$D$14),1,0)</f>
        <v>0</v>
      </c>
      <c r="AS20" s="57">
        <f>IF(AND(AS14&gt;='Key Assumptions'!$D$13,AS14&lt;'Key Assumptions'!$D$14),1,0)</f>
        <v>0</v>
      </c>
      <c r="AT20" s="57">
        <f>IF(AND(AT14&gt;='Key Assumptions'!$D$13,AT14&lt;'Key Assumptions'!$D$14),1,0)</f>
        <v>0</v>
      </c>
      <c r="AU20" s="57">
        <f>IF(AND(AU14&gt;='Key Assumptions'!$D$13,AU14&lt;'Key Assumptions'!$D$14),1,0)</f>
        <v>0</v>
      </c>
      <c r="AV20" s="57">
        <f>IF(AND(AV14&gt;='Key Assumptions'!$D$13,AV14&lt;'Key Assumptions'!$D$14),1,0)</f>
        <v>0</v>
      </c>
      <c r="AW20" s="57">
        <f>IF(AND(AW14&gt;='Key Assumptions'!$D$13,AW14&lt;'Key Assumptions'!$D$14),1,0)</f>
        <v>0</v>
      </c>
      <c r="AX20" s="57">
        <f>IF(AND(AX14&gt;='Key Assumptions'!$D$13,AX14&lt;'Key Assumptions'!$D$14),1,0)</f>
        <v>0</v>
      </c>
      <c r="AY20" s="57">
        <f>IF(AND(AY14&gt;='Key Assumptions'!$D$13,AY14&lt;'Key Assumptions'!$D$14),1,0)</f>
        <v>0</v>
      </c>
      <c r="AZ20" s="57">
        <f>IF(AND(AZ14&gt;='Key Assumptions'!$D$13,AZ14&lt;'Key Assumptions'!$D$14),1,0)</f>
        <v>0</v>
      </c>
      <c r="BA20" s="57">
        <f>IF(AND(BA14&gt;='Key Assumptions'!$D$13,BA14&lt;'Key Assumptions'!$D$14),1,0)</f>
        <v>0</v>
      </c>
      <c r="BB20" s="57">
        <f>IF(AND(BB14&gt;='Key Assumptions'!$D$13,BB14&lt;'Key Assumptions'!$D$14),1,0)</f>
        <v>0</v>
      </c>
      <c r="BC20" s="57">
        <f>IF(AND(BC14&gt;='Key Assumptions'!$D$13,BC14&lt;'Key Assumptions'!$D$14),1,0)</f>
        <v>0</v>
      </c>
      <c r="BD20" s="57">
        <f>IF(AND(BD14&gt;='Key Assumptions'!$D$13,BD14&lt;'Key Assumptions'!$D$14),1,0)</f>
        <v>0</v>
      </c>
      <c r="BE20" s="57">
        <f>IF(AND(BE14&gt;='Key Assumptions'!$D$13,BE14&lt;'Key Assumptions'!$D$14),1,0)</f>
        <v>0</v>
      </c>
      <c r="BF20" s="57">
        <f>IF(AND(BF14&gt;='Key Assumptions'!$D$13,BF14&lt;'Key Assumptions'!$D$14),1,0)</f>
        <v>0</v>
      </c>
      <c r="BG20" s="57">
        <f>IF(AND(BG14&gt;='Key Assumptions'!$D$13,BG14&lt;'Key Assumptions'!$D$14),1,0)</f>
        <v>0</v>
      </c>
      <c r="BH20" s="57">
        <f>IF(AND(BH14&gt;='Key Assumptions'!$D$13,BH14&lt;'Key Assumptions'!$D$14),1,0)</f>
        <v>0</v>
      </c>
      <c r="BI20" s="57">
        <f>IF(AND(BI14&gt;='Key Assumptions'!$D$13,BI14&lt;'Key Assumptions'!$D$14),1,0)</f>
        <v>0</v>
      </c>
      <c r="BJ20" s="57">
        <f>IF(AND(BJ14&gt;='Key Assumptions'!$D$13,BJ14&lt;'Key Assumptions'!$D$14),1,0)</f>
        <v>0</v>
      </c>
      <c r="BK20" s="57">
        <f>IF(AND(BK14&gt;='Key Assumptions'!$D$13,BK14&lt;'Key Assumptions'!$D$14),1,0)</f>
        <v>0</v>
      </c>
      <c r="BL20" s="57">
        <f>IF(AND(BL14&gt;='Key Assumptions'!$D$13,BL14&lt;'Key Assumptions'!$D$14),1,0)</f>
        <v>0</v>
      </c>
      <c r="BM20" s="57">
        <f>IF(AND(BM14&gt;='Key Assumptions'!$D$13,BM14&lt;'Key Assumptions'!$D$14),1,0)</f>
        <v>0</v>
      </c>
      <c r="BN20" s="57">
        <f>IF(AND(BN14&gt;='Key Assumptions'!$D$13,BN14&lt;'Key Assumptions'!$D$14),1,0)</f>
        <v>0</v>
      </c>
      <c r="BO20" s="57">
        <f>IF(AND(BO14&gt;='Key Assumptions'!$D$13,BO14&lt;'Key Assumptions'!$D$14),1,0)</f>
        <v>0</v>
      </c>
      <c r="BP20" s="57">
        <f>IF(AND(BP14&gt;='Key Assumptions'!$D$13,BP14&lt;'Key Assumptions'!$D$14),1,0)</f>
        <v>0</v>
      </c>
      <c r="BQ20" s="57">
        <f>IF(AND(BQ14&gt;='Key Assumptions'!$D$13,BQ14&lt;'Key Assumptions'!$D$14),1,0)</f>
        <v>0</v>
      </c>
      <c r="BR20" s="57">
        <f>IF(AND(BR14&gt;='Key Assumptions'!$D$13,BR14&lt;'Key Assumptions'!$D$14),1,0)</f>
        <v>0</v>
      </c>
      <c r="BS20" s="57">
        <f>IF(AND(BS14&gt;='Key Assumptions'!$D$13,BS14&lt;'Key Assumptions'!$D$14),1,0)</f>
        <v>0</v>
      </c>
      <c r="BT20" s="57">
        <f>IF(AND(BT14&gt;='Key Assumptions'!$D$13,BT14&lt;'Key Assumptions'!$D$14),1,0)</f>
        <v>0</v>
      </c>
      <c r="BU20" s="57">
        <f>IF(AND(BU14&gt;='Key Assumptions'!$D$13,BU14&lt;'Key Assumptions'!$D$14),1,0)</f>
        <v>0</v>
      </c>
      <c r="BV20" s="57">
        <f>IF(AND(BV14&gt;='Key Assumptions'!$D$13,BV14&lt;'Key Assumptions'!$D$14),1,0)</f>
        <v>0</v>
      </c>
      <c r="BW20" s="59"/>
    </row>
    <row r="21" ht="18.75" hidden="1" customHeight="1" outlineLevel="1">
      <c r="A21" s="22"/>
      <c r="B21" s="22"/>
      <c r="C21" s="35"/>
      <c r="D21" s="35"/>
      <c r="E21" s="35"/>
      <c r="F21" s="35"/>
      <c r="G21" s="35"/>
      <c r="H21" s="60" t="s">
        <v>29</v>
      </c>
      <c r="I21" s="61">
        <f>IF(AND(I14&gt;='Key Assumptions'!$D$15,I14&lt;'Key Assumptions'!$D$16),1,0)</f>
        <v>0</v>
      </c>
      <c r="J21" s="61">
        <f>IF(AND(J14&gt;='Key Assumptions'!$D$15,J14&lt;'Key Assumptions'!$D$16),1,0)</f>
        <v>0</v>
      </c>
      <c r="K21" s="61">
        <f>IF(AND(K14&gt;='Key Assumptions'!$D$15,K14&lt;'Key Assumptions'!$D$16),1,0)</f>
        <v>1</v>
      </c>
      <c r="L21" s="61">
        <f>IF(AND(L14&gt;='Key Assumptions'!$D$15,L14&lt;'Key Assumptions'!$D$16),1,0)</f>
        <v>1</v>
      </c>
      <c r="M21" s="61">
        <f>IF(AND(M14&gt;='Key Assumptions'!$D$15,M14&lt;'Key Assumptions'!$D$16),1,0)</f>
        <v>1</v>
      </c>
      <c r="N21" s="62"/>
      <c r="O21" s="61">
        <f>IF(AND(O14&gt;='Key Assumptions'!$D$15,O14&lt;'Key Assumptions'!$D$16),1,0)</f>
        <v>0</v>
      </c>
      <c r="P21" s="61">
        <f>IF(AND(P14&gt;='Key Assumptions'!$D$15,P14&lt;'Key Assumptions'!$D$16),1,0)</f>
        <v>0</v>
      </c>
      <c r="Q21" s="61">
        <f>IF(AND(Q14&gt;='Key Assumptions'!$D$15,Q14&lt;'Key Assumptions'!$D$16),1,0)</f>
        <v>0</v>
      </c>
      <c r="R21" s="61">
        <f>IF(AND(R14&gt;='Key Assumptions'!$D$15,R14&lt;'Key Assumptions'!$D$16),1,0)</f>
        <v>0</v>
      </c>
      <c r="S21" s="61">
        <f>IF(AND(S14&gt;='Key Assumptions'!$D$15,S14&lt;'Key Assumptions'!$D$16),1,0)</f>
        <v>0</v>
      </c>
      <c r="T21" s="61">
        <f>IF(AND(T14&gt;='Key Assumptions'!$D$15,T14&lt;'Key Assumptions'!$D$16),1,0)</f>
        <v>0</v>
      </c>
      <c r="U21" s="61">
        <f>IF(AND(U14&gt;='Key Assumptions'!$D$15,U14&lt;'Key Assumptions'!$D$16),1,0)</f>
        <v>0</v>
      </c>
      <c r="V21" s="61">
        <f>IF(AND(V14&gt;='Key Assumptions'!$D$15,V14&lt;'Key Assumptions'!$D$16),1,0)</f>
        <v>0</v>
      </c>
      <c r="W21" s="61">
        <f>IF(AND(W14&gt;='Key Assumptions'!$D$15,W14&lt;'Key Assumptions'!$D$16),1,0)</f>
        <v>0</v>
      </c>
      <c r="X21" s="61">
        <f>IF(AND(X14&gt;='Key Assumptions'!$D$15,X14&lt;'Key Assumptions'!$D$16),1,0)</f>
        <v>0</v>
      </c>
      <c r="Y21" s="61">
        <f>IF(AND(Y14&gt;='Key Assumptions'!$D$15,Y14&lt;'Key Assumptions'!$D$16),1,0)</f>
        <v>0</v>
      </c>
      <c r="Z21" s="61">
        <f>IF(AND(Z14&gt;='Key Assumptions'!$D$15,Z14&lt;'Key Assumptions'!$D$16),1,0)</f>
        <v>0</v>
      </c>
      <c r="AA21" s="61">
        <f>IF(AND(AA14&gt;='Key Assumptions'!$D$15,AA14&lt;'Key Assumptions'!$D$16),1,0)</f>
        <v>0</v>
      </c>
      <c r="AB21" s="61">
        <f>IF(AND(AB14&gt;='Key Assumptions'!$D$15,AB14&lt;'Key Assumptions'!$D$16),1,0)</f>
        <v>0</v>
      </c>
      <c r="AC21" s="61">
        <f>IF(AND(AC14&gt;='Key Assumptions'!$D$15,AC14&lt;'Key Assumptions'!$D$16),1,0)</f>
        <v>0</v>
      </c>
      <c r="AD21" s="61">
        <f>IF(AND(AD14&gt;='Key Assumptions'!$D$15,AD14&lt;'Key Assumptions'!$D$16),1,0)</f>
        <v>0</v>
      </c>
      <c r="AE21" s="61">
        <f>IF(AND(AE14&gt;='Key Assumptions'!$D$15,AE14&lt;'Key Assumptions'!$D$16),1,0)</f>
        <v>0</v>
      </c>
      <c r="AF21" s="61">
        <f>IF(AND(AF14&gt;='Key Assumptions'!$D$15,AF14&lt;'Key Assumptions'!$D$16),1,0)</f>
        <v>0</v>
      </c>
      <c r="AG21" s="61">
        <f>IF(AND(AG14&gt;='Key Assumptions'!$D$15,AG14&lt;'Key Assumptions'!$D$16),1,0)</f>
        <v>1</v>
      </c>
      <c r="AH21" s="61">
        <f>IF(AND(AH14&gt;='Key Assumptions'!$D$15,AH14&lt;'Key Assumptions'!$D$16),1,0)</f>
        <v>1</v>
      </c>
      <c r="AI21" s="61">
        <f>IF(AND(AI14&gt;='Key Assumptions'!$D$15,AI14&lt;'Key Assumptions'!$D$16),1,0)</f>
        <v>1</v>
      </c>
      <c r="AJ21" s="61">
        <f>IF(AND(AJ14&gt;='Key Assumptions'!$D$15,AJ14&lt;'Key Assumptions'!$D$16),1,0)</f>
        <v>1</v>
      </c>
      <c r="AK21" s="61">
        <f>IF(AND(AK14&gt;='Key Assumptions'!$D$15,AK14&lt;'Key Assumptions'!$D$16),1,0)</f>
        <v>1</v>
      </c>
      <c r="AL21" s="61">
        <f>IF(AND(AL14&gt;='Key Assumptions'!$D$15,AL14&lt;'Key Assumptions'!$D$16),1,0)</f>
        <v>1</v>
      </c>
      <c r="AM21" s="61">
        <f>IF(AND(AM14&gt;='Key Assumptions'!$D$15,AM14&lt;'Key Assumptions'!$D$16),1,0)</f>
        <v>1</v>
      </c>
      <c r="AN21" s="61">
        <f>IF(AND(AN14&gt;='Key Assumptions'!$D$15,AN14&lt;'Key Assumptions'!$D$16),1,0)</f>
        <v>1</v>
      </c>
      <c r="AO21" s="61">
        <f>IF(AND(AO14&gt;='Key Assumptions'!$D$15,AO14&lt;'Key Assumptions'!$D$16),1,0)</f>
        <v>1</v>
      </c>
      <c r="AP21" s="61">
        <f>IF(AND(AP14&gt;='Key Assumptions'!$D$15,AP14&lt;'Key Assumptions'!$D$16),1,0)</f>
        <v>1</v>
      </c>
      <c r="AQ21" s="61">
        <f>IF(AND(AQ14&gt;='Key Assumptions'!$D$15,AQ14&lt;'Key Assumptions'!$D$16),1,0)</f>
        <v>1</v>
      </c>
      <c r="AR21" s="61">
        <f>IF(AND(AR14&gt;='Key Assumptions'!$D$15,AR14&lt;'Key Assumptions'!$D$16),1,0)</f>
        <v>1</v>
      </c>
      <c r="AS21" s="61">
        <f>IF(AND(AS14&gt;='Key Assumptions'!$D$15,AS14&lt;'Key Assumptions'!$D$16),1,0)</f>
        <v>1</v>
      </c>
      <c r="AT21" s="61">
        <f>IF(AND(AT14&gt;='Key Assumptions'!$D$15,AT14&lt;'Key Assumptions'!$D$16),1,0)</f>
        <v>1</v>
      </c>
      <c r="AU21" s="61">
        <f>IF(AND(AU14&gt;='Key Assumptions'!$D$15,AU14&lt;'Key Assumptions'!$D$16),1,0)</f>
        <v>1</v>
      </c>
      <c r="AV21" s="61">
        <f>IF(AND(AV14&gt;='Key Assumptions'!$D$15,AV14&lt;'Key Assumptions'!$D$16),1,0)</f>
        <v>1</v>
      </c>
      <c r="AW21" s="61">
        <f>IF(AND(AW14&gt;='Key Assumptions'!$D$15,AW14&lt;'Key Assumptions'!$D$16),1,0)</f>
        <v>1</v>
      </c>
      <c r="AX21" s="61">
        <f>IF(AND(AX14&gt;='Key Assumptions'!$D$15,AX14&lt;'Key Assumptions'!$D$16),1,0)</f>
        <v>1</v>
      </c>
      <c r="AY21" s="61">
        <f>IF(AND(AY14&gt;='Key Assumptions'!$D$15,AY14&lt;'Key Assumptions'!$D$16),1,0)</f>
        <v>1</v>
      </c>
      <c r="AZ21" s="61">
        <f>IF(AND(AZ14&gt;='Key Assumptions'!$D$15,AZ14&lt;'Key Assumptions'!$D$16),1,0)</f>
        <v>1</v>
      </c>
      <c r="BA21" s="61">
        <f>IF(AND(BA14&gt;='Key Assumptions'!$D$15,BA14&lt;'Key Assumptions'!$D$16),1,0)</f>
        <v>1</v>
      </c>
      <c r="BB21" s="61">
        <f>IF(AND(BB14&gt;='Key Assumptions'!$D$15,BB14&lt;'Key Assumptions'!$D$16),1,0)</f>
        <v>1</v>
      </c>
      <c r="BC21" s="61">
        <f>IF(AND(BC14&gt;='Key Assumptions'!$D$15,BC14&lt;'Key Assumptions'!$D$16),1,0)</f>
        <v>1</v>
      </c>
      <c r="BD21" s="61">
        <f>IF(AND(BD14&gt;='Key Assumptions'!$D$15,BD14&lt;'Key Assumptions'!$D$16),1,0)</f>
        <v>1</v>
      </c>
      <c r="BE21" s="61">
        <f>IF(AND(BE14&gt;='Key Assumptions'!$D$15,BE14&lt;'Key Assumptions'!$D$16),1,0)</f>
        <v>1</v>
      </c>
      <c r="BF21" s="61">
        <f>IF(AND(BF14&gt;='Key Assumptions'!$D$15,BF14&lt;'Key Assumptions'!$D$16),1,0)</f>
        <v>1</v>
      </c>
      <c r="BG21" s="61">
        <f>IF(AND(BG14&gt;='Key Assumptions'!$D$15,BG14&lt;'Key Assumptions'!$D$16),1,0)</f>
        <v>1</v>
      </c>
      <c r="BH21" s="61">
        <f>IF(AND(BH14&gt;='Key Assumptions'!$D$15,BH14&lt;'Key Assumptions'!$D$16),1,0)</f>
        <v>1</v>
      </c>
      <c r="BI21" s="61">
        <f>IF(AND(BI14&gt;='Key Assumptions'!$D$15,BI14&lt;'Key Assumptions'!$D$16),1,0)</f>
        <v>1</v>
      </c>
      <c r="BJ21" s="61">
        <f>IF(AND(BJ14&gt;='Key Assumptions'!$D$15,BJ14&lt;'Key Assumptions'!$D$16),1,0)</f>
        <v>1</v>
      </c>
      <c r="BK21" s="61">
        <f>IF(AND(BK14&gt;='Key Assumptions'!$D$15,BK14&lt;'Key Assumptions'!$D$16),1,0)</f>
        <v>1</v>
      </c>
      <c r="BL21" s="61">
        <f>IF(AND(BL14&gt;='Key Assumptions'!$D$15,BL14&lt;'Key Assumptions'!$D$16),1,0)</f>
        <v>1</v>
      </c>
      <c r="BM21" s="61">
        <f>IF(AND(BM14&gt;='Key Assumptions'!$D$15,BM14&lt;'Key Assumptions'!$D$16),1,0)</f>
        <v>1</v>
      </c>
      <c r="BN21" s="61">
        <f>IF(AND(BN14&gt;='Key Assumptions'!$D$15,BN14&lt;'Key Assumptions'!$D$16),1,0)</f>
        <v>1</v>
      </c>
      <c r="BO21" s="61">
        <f>IF(AND(BO14&gt;='Key Assumptions'!$D$15,BO14&lt;'Key Assumptions'!$D$16),1,0)</f>
        <v>1</v>
      </c>
      <c r="BP21" s="61">
        <f>IF(AND(BP14&gt;='Key Assumptions'!$D$15,BP14&lt;'Key Assumptions'!$D$16),1,0)</f>
        <v>1</v>
      </c>
      <c r="BQ21" s="61">
        <f>IF(AND(BQ14&gt;='Key Assumptions'!$D$15,BQ14&lt;'Key Assumptions'!$D$16),1,0)</f>
        <v>1</v>
      </c>
      <c r="BR21" s="61">
        <f>IF(AND(BR14&gt;='Key Assumptions'!$D$15,BR14&lt;'Key Assumptions'!$D$16),1,0)</f>
        <v>1</v>
      </c>
      <c r="BS21" s="61">
        <f>IF(AND(BS14&gt;='Key Assumptions'!$D$15,BS14&lt;'Key Assumptions'!$D$16),1,0)</f>
        <v>1</v>
      </c>
      <c r="BT21" s="61">
        <f>IF(AND(BT14&gt;='Key Assumptions'!$D$15,BT14&lt;'Key Assumptions'!$D$16),1,0)</f>
        <v>1</v>
      </c>
      <c r="BU21" s="61">
        <f>IF(AND(BU14&gt;='Key Assumptions'!$D$15,BU14&lt;'Key Assumptions'!$D$16),1,0)</f>
        <v>1</v>
      </c>
      <c r="BV21" s="61">
        <f>IF(AND(BV14&gt;='Key Assumptions'!$D$15,BV14&lt;'Key Assumptions'!$D$16),1,0)</f>
        <v>1</v>
      </c>
      <c r="BW21" s="59"/>
    </row>
    <row r="22" ht="18.75" hidden="1" customHeight="1" outlineLevel="1">
      <c r="A22" s="22"/>
      <c r="B22" s="22"/>
      <c r="C22" s="35"/>
      <c r="D22" s="35"/>
      <c r="E22" s="35"/>
      <c r="F22" s="35"/>
      <c r="G22" s="35"/>
      <c r="H22" s="60" t="s">
        <v>30</v>
      </c>
      <c r="I22" s="61">
        <f t="shared" ref="I22:M22" si="13">COUNTA($I$14:I14)</f>
        <v>1</v>
      </c>
      <c r="J22" s="61">
        <f t="shared" si="13"/>
        <v>2</v>
      </c>
      <c r="K22" s="61">
        <f t="shared" si="13"/>
        <v>3</v>
      </c>
      <c r="L22" s="61">
        <f t="shared" si="13"/>
        <v>4</v>
      </c>
      <c r="M22" s="61">
        <f t="shared" si="13"/>
        <v>5</v>
      </c>
      <c r="N22" s="62"/>
      <c r="O22" s="61">
        <f t="shared" ref="O22:BV22" si="14">INDEX($I$22:$M$22,MATCH(YEAR(O$14),$I$17:$M$17,0))</f>
        <v>1</v>
      </c>
      <c r="P22" s="61">
        <f t="shared" si="14"/>
        <v>1</v>
      </c>
      <c r="Q22" s="61">
        <f t="shared" si="14"/>
        <v>1</v>
      </c>
      <c r="R22" s="61">
        <f t="shared" si="14"/>
        <v>1</v>
      </c>
      <c r="S22" s="61">
        <f t="shared" si="14"/>
        <v>1</v>
      </c>
      <c r="T22" s="61">
        <f t="shared" si="14"/>
        <v>1</v>
      </c>
      <c r="U22" s="61">
        <f t="shared" si="14"/>
        <v>1</v>
      </c>
      <c r="V22" s="61">
        <f t="shared" si="14"/>
        <v>1</v>
      </c>
      <c r="W22" s="61">
        <f t="shared" si="14"/>
        <v>1</v>
      </c>
      <c r="X22" s="61">
        <f t="shared" si="14"/>
        <v>1</v>
      </c>
      <c r="Y22" s="61">
        <f t="shared" si="14"/>
        <v>1</v>
      </c>
      <c r="Z22" s="61">
        <f t="shared" si="14"/>
        <v>1</v>
      </c>
      <c r="AA22" s="61">
        <f t="shared" si="14"/>
        <v>2</v>
      </c>
      <c r="AB22" s="61">
        <f t="shared" si="14"/>
        <v>2</v>
      </c>
      <c r="AC22" s="61">
        <f t="shared" si="14"/>
        <v>2</v>
      </c>
      <c r="AD22" s="61">
        <f t="shared" si="14"/>
        <v>2</v>
      </c>
      <c r="AE22" s="61">
        <f t="shared" si="14"/>
        <v>2</v>
      </c>
      <c r="AF22" s="61">
        <f t="shared" si="14"/>
        <v>2</v>
      </c>
      <c r="AG22" s="61">
        <f t="shared" si="14"/>
        <v>2</v>
      </c>
      <c r="AH22" s="61">
        <f t="shared" si="14"/>
        <v>2</v>
      </c>
      <c r="AI22" s="61">
        <f t="shared" si="14"/>
        <v>2</v>
      </c>
      <c r="AJ22" s="61">
        <f t="shared" si="14"/>
        <v>2</v>
      </c>
      <c r="AK22" s="61">
        <f t="shared" si="14"/>
        <v>2</v>
      </c>
      <c r="AL22" s="61">
        <f t="shared" si="14"/>
        <v>2</v>
      </c>
      <c r="AM22" s="61">
        <f t="shared" si="14"/>
        <v>3</v>
      </c>
      <c r="AN22" s="61">
        <f t="shared" si="14"/>
        <v>3</v>
      </c>
      <c r="AO22" s="61">
        <f t="shared" si="14"/>
        <v>3</v>
      </c>
      <c r="AP22" s="61">
        <f t="shared" si="14"/>
        <v>3</v>
      </c>
      <c r="AQ22" s="61">
        <f t="shared" si="14"/>
        <v>3</v>
      </c>
      <c r="AR22" s="61">
        <f t="shared" si="14"/>
        <v>3</v>
      </c>
      <c r="AS22" s="61">
        <f t="shared" si="14"/>
        <v>3</v>
      </c>
      <c r="AT22" s="61">
        <f t="shared" si="14"/>
        <v>3</v>
      </c>
      <c r="AU22" s="61">
        <f t="shared" si="14"/>
        <v>3</v>
      </c>
      <c r="AV22" s="61">
        <f t="shared" si="14"/>
        <v>3</v>
      </c>
      <c r="AW22" s="61">
        <f t="shared" si="14"/>
        <v>3</v>
      </c>
      <c r="AX22" s="61">
        <f t="shared" si="14"/>
        <v>3</v>
      </c>
      <c r="AY22" s="61">
        <f t="shared" si="14"/>
        <v>4</v>
      </c>
      <c r="AZ22" s="61">
        <f t="shared" si="14"/>
        <v>4</v>
      </c>
      <c r="BA22" s="61">
        <f t="shared" si="14"/>
        <v>4</v>
      </c>
      <c r="BB22" s="61">
        <f t="shared" si="14"/>
        <v>4</v>
      </c>
      <c r="BC22" s="61">
        <f t="shared" si="14"/>
        <v>4</v>
      </c>
      <c r="BD22" s="61">
        <f t="shared" si="14"/>
        <v>4</v>
      </c>
      <c r="BE22" s="61">
        <f t="shared" si="14"/>
        <v>4</v>
      </c>
      <c r="BF22" s="61">
        <f t="shared" si="14"/>
        <v>4</v>
      </c>
      <c r="BG22" s="61">
        <f t="shared" si="14"/>
        <v>4</v>
      </c>
      <c r="BH22" s="61">
        <f t="shared" si="14"/>
        <v>4</v>
      </c>
      <c r="BI22" s="61">
        <f t="shared" si="14"/>
        <v>4</v>
      </c>
      <c r="BJ22" s="61">
        <f t="shared" si="14"/>
        <v>4</v>
      </c>
      <c r="BK22" s="61">
        <f t="shared" si="14"/>
        <v>5</v>
      </c>
      <c r="BL22" s="61">
        <f t="shared" si="14"/>
        <v>5</v>
      </c>
      <c r="BM22" s="61">
        <f t="shared" si="14"/>
        <v>5</v>
      </c>
      <c r="BN22" s="61">
        <f t="shared" si="14"/>
        <v>5</v>
      </c>
      <c r="BO22" s="61">
        <f t="shared" si="14"/>
        <v>5</v>
      </c>
      <c r="BP22" s="61">
        <f t="shared" si="14"/>
        <v>5</v>
      </c>
      <c r="BQ22" s="61">
        <f t="shared" si="14"/>
        <v>5</v>
      </c>
      <c r="BR22" s="61">
        <f t="shared" si="14"/>
        <v>5</v>
      </c>
      <c r="BS22" s="61">
        <f t="shared" si="14"/>
        <v>5</v>
      </c>
      <c r="BT22" s="61">
        <f t="shared" si="14"/>
        <v>5</v>
      </c>
      <c r="BU22" s="61">
        <f t="shared" si="14"/>
        <v>5</v>
      </c>
      <c r="BV22" s="61">
        <f t="shared" si="14"/>
        <v>5</v>
      </c>
      <c r="BW22" s="59"/>
    </row>
    <row r="23" ht="18.75" customHeight="1">
      <c r="A23" s="22"/>
      <c r="B23" s="22"/>
      <c r="C23" s="35"/>
      <c r="D23" s="35"/>
      <c r="E23" s="35"/>
      <c r="F23" s="35"/>
      <c r="G23" s="35"/>
      <c r="H23" s="35"/>
      <c r="I23" s="35"/>
      <c r="J23" s="35"/>
      <c r="K23" s="35"/>
      <c r="L23" s="35"/>
      <c r="M23" s="35"/>
      <c r="N23" s="35"/>
      <c r="O23" s="35"/>
      <c r="P23" s="35"/>
      <c r="Q23" s="35"/>
      <c r="R23" s="35"/>
      <c r="S23" s="35"/>
      <c r="T23" s="35"/>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row>
    <row r="24" ht="18.75" customHeight="1">
      <c r="A24" s="22"/>
      <c r="B24" s="22"/>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c r="AI24" s="35"/>
      <c r="AJ24" s="35"/>
      <c r="AK24" s="35"/>
      <c r="AL24" s="35"/>
      <c r="AM24" s="35"/>
      <c r="AN24" s="35"/>
      <c r="AO24" s="35"/>
      <c r="AP24" s="35"/>
      <c r="AQ24" s="35"/>
      <c r="AR24" s="35"/>
      <c r="AS24" s="35"/>
      <c r="AT24" s="35"/>
      <c r="AU24" s="35"/>
      <c r="AV24" s="35"/>
      <c r="AW24" s="35"/>
      <c r="AX24" s="35"/>
      <c r="AY24" s="35"/>
      <c r="AZ24" s="35"/>
      <c r="BA24" s="35"/>
      <c r="BB24" s="35"/>
      <c r="BC24" s="35"/>
      <c r="BD24" s="35"/>
      <c r="BE24" s="35"/>
      <c r="BF24" s="35"/>
      <c r="BG24" s="35"/>
      <c r="BH24" s="35"/>
      <c r="BI24" s="35"/>
      <c r="BJ24" s="35"/>
      <c r="BK24" s="35"/>
      <c r="BL24" s="35"/>
      <c r="BM24" s="35"/>
      <c r="BN24" s="35"/>
      <c r="BO24" s="35"/>
      <c r="BP24" s="35"/>
      <c r="BQ24" s="35"/>
      <c r="BR24" s="35"/>
      <c r="BS24" s="35"/>
      <c r="BT24" s="35"/>
      <c r="BU24" s="35"/>
      <c r="BV24" s="35"/>
      <c r="BW24" s="35"/>
    </row>
    <row r="25" ht="18.75" customHeight="1">
      <c r="A25" s="22"/>
      <c r="B25" s="22"/>
      <c r="C25" s="30" t="s">
        <v>31</v>
      </c>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5"/>
    </row>
    <row r="26" ht="18.75" customHeight="1">
      <c r="A26" s="22"/>
      <c r="B26" s="22"/>
      <c r="C26" s="32" t="s">
        <v>32</v>
      </c>
      <c r="D26" s="35"/>
      <c r="E26" s="35"/>
      <c r="F26" s="35"/>
      <c r="G26" s="63" t="s">
        <v>33</v>
      </c>
      <c r="H26" s="35"/>
      <c r="I26" s="64">
        <f t="shared" ref="I26:M26" si="15">SUMIFS($O26:$BV26,$O$22:$BV$22,I$22)</f>
        <v>6000</v>
      </c>
      <c r="J26" s="64">
        <f t="shared" si="15"/>
        <v>6000</v>
      </c>
      <c r="K26" s="64">
        <f t="shared" si="15"/>
        <v>6000</v>
      </c>
      <c r="L26" s="64">
        <f t="shared" si="15"/>
        <v>6000</v>
      </c>
      <c r="M26" s="64">
        <f t="shared" si="15"/>
        <v>6000</v>
      </c>
      <c r="N26" s="35"/>
      <c r="O26" s="65">
        <v>500.0</v>
      </c>
      <c r="P26" s="65">
        <v>500.0</v>
      </c>
      <c r="Q26" s="65">
        <v>500.0</v>
      </c>
      <c r="R26" s="65">
        <v>500.0</v>
      </c>
      <c r="S26" s="65">
        <v>500.0</v>
      </c>
      <c r="T26" s="65">
        <v>500.0</v>
      </c>
      <c r="U26" s="65">
        <v>500.0</v>
      </c>
      <c r="V26" s="65">
        <v>500.0</v>
      </c>
      <c r="W26" s="65">
        <v>500.0</v>
      </c>
      <c r="X26" s="65">
        <v>500.0</v>
      </c>
      <c r="Y26" s="65">
        <v>500.0</v>
      </c>
      <c r="Z26" s="65">
        <v>500.0</v>
      </c>
      <c r="AA26" s="65">
        <v>500.0</v>
      </c>
      <c r="AB26" s="65">
        <v>500.0</v>
      </c>
      <c r="AC26" s="65">
        <v>500.0</v>
      </c>
      <c r="AD26" s="65">
        <v>500.0</v>
      </c>
      <c r="AE26" s="65">
        <v>500.0</v>
      </c>
      <c r="AF26" s="65">
        <v>500.0</v>
      </c>
      <c r="AG26" s="66">
        <v>500.0</v>
      </c>
      <c r="AH26" s="66">
        <v>500.0</v>
      </c>
      <c r="AI26" s="66">
        <v>500.0</v>
      </c>
      <c r="AJ26" s="66">
        <v>500.0</v>
      </c>
      <c r="AK26" s="66">
        <v>500.0</v>
      </c>
      <c r="AL26" s="66">
        <v>500.0</v>
      </c>
      <c r="AM26" s="66">
        <v>500.0</v>
      </c>
      <c r="AN26" s="66">
        <v>500.0</v>
      </c>
      <c r="AO26" s="66">
        <v>500.0</v>
      </c>
      <c r="AP26" s="66">
        <v>500.0</v>
      </c>
      <c r="AQ26" s="66">
        <v>500.0</v>
      </c>
      <c r="AR26" s="66">
        <v>500.0</v>
      </c>
      <c r="AS26" s="66">
        <v>500.0</v>
      </c>
      <c r="AT26" s="66">
        <v>500.0</v>
      </c>
      <c r="AU26" s="66">
        <v>500.0</v>
      </c>
      <c r="AV26" s="66">
        <v>500.0</v>
      </c>
      <c r="AW26" s="66">
        <v>500.0</v>
      </c>
      <c r="AX26" s="66">
        <v>500.0</v>
      </c>
      <c r="AY26" s="66">
        <v>500.0</v>
      </c>
      <c r="AZ26" s="66">
        <v>500.0</v>
      </c>
      <c r="BA26" s="66">
        <v>500.0</v>
      </c>
      <c r="BB26" s="66">
        <v>500.0</v>
      </c>
      <c r="BC26" s="66">
        <v>500.0</v>
      </c>
      <c r="BD26" s="66">
        <v>500.0</v>
      </c>
      <c r="BE26" s="66">
        <v>500.0</v>
      </c>
      <c r="BF26" s="66">
        <v>500.0</v>
      </c>
      <c r="BG26" s="66">
        <v>500.0</v>
      </c>
      <c r="BH26" s="66">
        <v>500.0</v>
      </c>
      <c r="BI26" s="66">
        <v>500.0</v>
      </c>
      <c r="BJ26" s="66">
        <v>500.0</v>
      </c>
      <c r="BK26" s="66">
        <v>500.0</v>
      </c>
      <c r="BL26" s="66">
        <v>500.0</v>
      </c>
      <c r="BM26" s="66">
        <v>500.0</v>
      </c>
      <c r="BN26" s="66">
        <v>500.0</v>
      </c>
      <c r="BO26" s="66">
        <v>500.0</v>
      </c>
      <c r="BP26" s="66">
        <v>500.0</v>
      </c>
      <c r="BQ26" s="66">
        <v>500.0</v>
      </c>
      <c r="BR26" s="66">
        <v>500.0</v>
      </c>
      <c r="BS26" s="66">
        <v>500.0</v>
      </c>
      <c r="BT26" s="66">
        <v>500.0</v>
      </c>
      <c r="BU26" s="66">
        <v>500.0</v>
      </c>
      <c r="BV26" s="66">
        <v>500.0</v>
      </c>
      <c r="BW26" s="35"/>
    </row>
    <row r="27" ht="18.75" customHeight="1">
      <c r="A27" s="22"/>
      <c r="B27" s="22"/>
      <c r="C27" s="35"/>
      <c r="D27" s="35"/>
      <c r="E27" s="35"/>
      <c r="F27" s="35"/>
      <c r="G27" s="67"/>
      <c r="H27" s="35"/>
      <c r="I27" s="35"/>
      <c r="J27" s="35"/>
      <c r="K27" s="35"/>
      <c r="L27" s="35"/>
      <c r="M27" s="35"/>
      <c r="N27" s="35"/>
      <c r="O27" s="35"/>
      <c r="P27" s="35"/>
      <c r="Q27" s="35"/>
      <c r="R27" s="35"/>
      <c r="S27" s="35"/>
      <c r="T27" s="35"/>
      <c r="U27" s="35"/>
      <c r="V27" s="35"/>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row>
    <row r="28" ht="18.75" customHeight="1">
      <c r="A28" s="22"/>
      <c r="B28" s="22"/>
      <c r="C28" s="30" t="s">
        <v>34</v>
      </c>
      <c r="D28" s="31"/>
      <c r="E28" s="31"/>
      <c r="F28" s="31"/>
      <c r="G28" s="68"/>
      <c r="H28" s="31"/>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5"/>
    </row>
    <row r="29" ht="18.75" customHeight="1">
      <c r="A29" s="22"/>
      <c r="B29" s="22"/>
      <c r="C29" s="32" t="s">
        <v>35</v>
      </c>
      <c r="D29" s="35"/>
      <c r="E29" s="35"/>
      <c r="F29" s="35"/>
      <c r="G29" s="63" t="s">
        <v>33</v>
      </c>
      <c r="H29" s="35"/>
      <c r="I29" s="64">
        <f t="shared" ref="I29:M29" si="16">SUMIFS($O29:$BV29,$O$22:$BV$22,I$22)</f>
        <v>2329537.445</v>
      </c>
      <c r="J29" s="64">
        <f t="shared" si="16"/>
        <v>2335236.259</v>
      </c>
      <c r="K29" s="64">
        <f t="shared" si="16"/>
        <v>2346644.445</v>
      </c>
      <c r="L29" s="64">
        <f t="shared" si="16"/>
        <v>2347249.836</v>
      </c>
      <c r="M29" s="64">
        <f t="shared" si="16"/>
        <v>2347245.141</v>
      </c>
      <c r="N29" s="35"/>
      <c r="O29" s="65">
        <v>178762.11453744493</v>
      </c>
      <c r="P29" s="65">
        <v>173603.5242290749</v>
      </c>
      <c r="Q29" s="65">
        <v>233465.19823788546</v>
      </c>
      <c r="R29" s="65">
        <v>200328.63436123347</v>
      </c>
      <c r="S29" s="65">
        <v>149405.28634361233</v>
      </c>
      <c r="T29" s="65">
        <v>233644.93392070485</v>
      </c>
      <c r="U29" s="65">
        <v>252277.53303964756</v>
      </c>
      <c r="V29" s="65">
        <v>223411.4537444934</v>
      </c>
      <c r="W29" s="65">
        <v>152917.62114537446</v>
      </c>
      <c r="X29" s="65">
        <v>249669.60352422908</v>
      </c>
      <c r="Y29" s="65">
        <v>151168.281938326</v>
      </c>
      <c r="Z29" s="65">
        <v>130883.25991189427</v>
      </c>
      <c r="AA29" s="65">
        <v>189577.97356828194</v>
      </c>
      <c r="AB29" s="65">
        <v>224186.78414096916</v>
      </c>
      <c r="AC29" s="65">
        <v>136883.25991189427</v>
      </c>
      <c r="AD29" s="65">
        <v>202167.40088105726</v>
      </c>
      <c r="AE29" s="65">
        <v>220599.11894273126</v>
      </c>
      <c r="AF29" s="65">
        <v>191235.2422907489</v>
      </c>
      <c r="AG29" s="66">
        <v>194108.2966226138</v>
      </c>
      <c r="AH29" s="66">
        <v>194863.35046500244</v>
      </c>
      <c r="AI29" s="66">
        <v>189976.11151900797</v>
      </c>
      <c r="AJ29" s="66">
        <v>198824.92012019362</v>
      </c>
      <c r="AK29" s="66">
        <v>198267.839993383</v>
      </c>
      <c r="AL29" s="66">
        <v>194545.9601684916</v>
      </c>
      <c r="AM29" s="66">
        <v>195097.74648144876</v>
      </c>
      <c r="AN29" s="66">
        <v>195262.65479125455</v>
      </c>
      <c r="AO29" s="66">
        <v>195329.20551229655</v>
      </c>
      <c r="AP29" s="66">
        <v>196221.38784451134</v>
      </c>
      <c r="AQ29" s="66">
        <v>195787.46579856428</v>
      </c>
      <c r="AR29" s="66">
        <v>195374.07009942783</v>
      </c>
      <c r="AS29" s="66">
        <v>195512.08842125055</v>
      </c>
      <c r="AT29" s="66">
        <v>195581.1454112175</v>
      </c>
      <c r="AU29" s="66">
        <v>195634.22718121135</v>
      </c>
      <c r="AV29" s="66">
        <v>195685.06412603045</v>
      </c>
      <c r="AW29" s="66">
        <v>195595.676839617</v>
      </c>
      <c r="AX29" s="66">
        <v>195563.71201312577</v>
      </c>
      <c r="AY29" s="66">
        <v>195595.31899874206</v>
      </c>
      <c r="AZ29" s="66">
        <v>195609.19076165734</v>
      </c>
      <c r="BA29" s="66">
        <v>195613.86498673065</v>
      </c>
      <c r="BB29" s="66">
        <v>195610.47128765055</v>
      </c>
      <c r="BC29" s="66">
        <v>195598.03914792056</v>
      </c>
      <c r="BD29" s="66">
        <v>195598.43286597115</v>
      </c>
      <c r="BE29" s="66">
        <v>195604.21967477872</v>
      </c>
      <c r="BF29" s="66">
        <v>195605.70312078483</v>
      </c>
      <c r="BG29" s="66">
        <v>195605.12184730606</v>
      </c>
      <c r="BH29" s="66">
        <v>195603.66465740197</v>
      </c>
      <c r="BI29" s="66">
        <v>195602.53021902722</v>
      </c>
      <c r="BJ29" s="66">
        <v>195603.27873087834</v>
      </c>
      <c r="BK29" s="66">
        <v>195604.08637502952</v>
      </c>
      <c r="BL29" s="66">
        <v>195604.06415840462</v>
      </c>
      <c r="BM29" s="66">
        <v>195603.79099800796</v>
      </c>
      <c r="BN29" s="66">
        <v>195603.5691897916</v>
      </c>
      <c r="BO29" s="66">
        <v>195603.55327852324</v>
      </c>
      <c r="BP29" s="66">
        <v>195603.7237884392</v>
      </c>
      <c r="BQ29" s="66">
        <v>195603.79796469936</v>
      </c>
      <c r="BR29" s="66">
        <v>195603.749896311</v>
      </c>
      <c r="BS29" s="66">
        <v>195603.69751929538</v>
      </c>
      <c r="BT29" s="66">
        <v>195603.68193950993</v>
      </c>
      <c r="BU29" s="66">
        <v>195603.7007311297</v>
      </c>
      <c r="BV29" s="66">
        <v>195603.7253065641</v>
      </c>
      <c r="BW29" s="35"/>
    </row>
    <row r="30" ht="18.75" customHeight="1">
      <c r="A30" s="22"/>
      <c r="B30" s="22"/>
      <c r="C30" s="35"/>
      <c r="D30" s="35"/>
      <c r="E30" s="35"/>
      <c r="F30" s="35"/>
      <c r="G30" s="67"/>
      <c r="H30" s="35"/>
      <c r="I30" s="35"/>
      <c r="J30" s="35"/>
      <c r="K30" s="35"/>
      <c r="L30" s="35"/>
      <c r="M30" s="35"/>
      <c r="N30" s="35"/>
      <c r="O30" s="35"/>
      <c r="P30" s="35"/>
      <c r="Q30" s="35"/>
      <c r="R30" s="35"/>
      <c r="S30" s="35"/>
      <c r="T30" s="35"/>
      <c r="U30" s="35"/>
      <c r="V30" s="35"/>
      <c r="W30" s="35"/>
      <c r="X30" s="35"/>
      <c r="Y30" s="35"/>
      <c r="Z30" s="35"/>
      <c r="AA30" s="35"/>
      <c r="AB30" s="35"/>
      <c r="AC30" s="35"/>
      <c r="AD30" s="35"/>
      <c r="AE30" s="35"/>
      <c r="AF30" s="35"/>
      <c r="AG30" s="35"/>
      <c r="AH30" s="35"/>
      <c r="AI30" s="35"/>
      <c r="AJ30" s="35"/>
      <c r="AK30" s="35"/>
      <c r="AL30" s="35"/>
      <c r="AM30" s="35"/>
      <c r="AN30" s="35"/>
      <c r="AO30" s="35"/>
      <c r="AP30" s="35"/>
      <c r="AQ30" s="35"/>
      <c r="AR30" s="35"/>
      <c r="AS30" s="35"/>
      <c r="AT30" s="35"/>
      <c r="AU30" s="35"/>
      <c r="AV30" s="35"/>
      <c r="AW30" s="35"/>
      <c r="AX30" s="35"/>
      <c r="AY30" s="35"/>
      <c r="AZ30" s="35"/>
      <c r="BA30" s="35"/>
      <c r="BB30" s="35"/>
      <c r="BC30" s="35"/>
      <c r="BD30" s="35"/>
      <c r="BE30" s="35"/>
      <c r="BF30" s="35"/>
      <c r="BG30" s="35"/>
      <c r="BH30" s="35"/>
      <c r="BI30" s="35"/>
      <c r="BJ30" s="35"/>
      <c r="BK30" s="35"/>
      <c r="BL30" s="35"/>
      <c r="BM30" s="35"/>
      <c r="BN30" s="35"/>
      <c r="BO30" s="35"/>
      <c r="BP30" s="35"/>
      <c r="BQ30" s="35"/>
      <c r="BR30" s="35"/>
      <c r="BS30" s="35"/>
      <c r="BT30" s="35"/>
      <c r="BU30" s="35"/>
      <c r="BV30" s="35"/>
      <c r="BW30" s="35"/>
    </row>
    <row r="31" ht="18.75" customHeight="1">
      <c r="A31" s="22"/>
      <c r="B31" s="22"/>
      <c r="C31" s="30" t="s">
        <v>36</v>
      </c>
      <c r="D31" s="31"/>
      <c r="E31" s="31"/>
      <c r="F31" s="31"/>
      <c r="G31" s="68"/>
      <c r="H31" s="31"/>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5"/>
    </row>
    <row r="32" ht="18.75" customHeight="1">
      <c r="A32" s="22"/>
      <c r="B32" s="22"/>
      <c r="C32" s="32" t="s">
        <v>37</v>
      </c>
      <c r="D32" s="35"/>
      <c r="E32" s="35"/>
      <c r="F32" s="35"/>
      <c r="G32" s="63" t="s">
        <v>38</v>
      </c>
      <c r="H32" s="35"/>
      <c r="I32" s="69">
        <f t="shared" ref="I32:M32" si="17">iferror(AVERAGEIFS($O32:$BJ32,$O$22:$BJ$22,I$22),0)</f>
        <v>0.8</v>
      </c>
      <c r="J32" s="69">
        <f t="shared" si="17"/>
        <v>0.8</v>
      </c>
      <c r="K32" s="69">
        <f t="shared" si="17"/>
        <v>0.8</v>
      </c>
      <c r="L32" s="69">
        <f t="shared" si="17"/>
        <v>0.8</v>
      </c>
      <c r="M32" s="69">
        <f t="shared" si="17"/>
        <v>0</v>
      </c>
      <c r="N32" s="35"/>
      <c r="O32" s="70">
        <v>0.8</v>
      </c>
      <c r="P32" s="70">
        <v>0.8</v>
      </c>
      <c r="Q32" s="70">
        <v>0.8</v>
      </c>
      <c r="R32" s="70">
        <v>0.8</v>
      </c>
      <c r="S32" s="70">
        <v>0.8</v>
      </c>
      <c r="T32" s="70">
        <v>0.8</v>
      </c>
      <c r="U32" s="70">
        <v>0.8</v>
      </c>
      <c r="V32" s="70">
        <v>0.8</v>
      </c>
      <c r="W32" s="70">
        <v>0.8</v>
      </c>
      <c r="X32" s="70">
        <v>0.8</v>
      </c>
      <c r="Y32" s="70">
        <v>0.8</v>
      </c>
      <c r="Z32" s="70">
        <v>0.8</v>
      </c>
      <c r="AA32" s="70">
        <v>0.8</v>
      </c>
      <c r="AB32" s="70">
        <v>0.8</v>
      </c>
      <c r="AC32" s="70">
        <v>0.8</v>
      </c>
      <c r="AD32" s="70">
        <v>0.8</v>
      </c>
      <c r="AE32" s="70">
        <v>0.8</v>
      </c>
      <c r="AF32" s="70">
        <v>0.8</v>
      </c>
      <c r="AG32" s="71">
        <v>0.8</v>
      </c>
      <c r="AH32" s="71">
        <v>0.8</v>
      </c>
      <c r="AI32" s="71">
        <v>0.8</v>
      </c>
      <c r="AJ32" s="71">
        <v>0.8</v>
      </c>
      <c r="AK32" s="71">
        <v>0.8</v>
      </c>
      <c r="AL32" s="71">
        <v>0.8</v>
      </c>
      <c r="AM32" s="71">
        <v>0.8</v>
      </c>
      <c r="AN32" s="71">
        <v>0.8</v>
      </c>
      <c r="AO32" s="71">
        <v>0.8</v>
      </c>
      <c r="AP32" s="71">
        <v>0.8</v>
      </c>
      <c r="AQ32" s="71">
        <v>0.8</v>
      </c>
      <c r="AR32" s="71">
        <v>0.8</v>
      </c>
      <c r="AS32" s="71">
        <v>0.8</v>
      </c>
      <c r="AT32" s="71">
        <v>0.8</v>
      </c>
      <c r="AU32" s="71">
        <v>0.8</v>
      </c>
      <c r="AV32" s="71">
        <v>0.8</v>
      </c>
      <c r="AW32" s="71">
        <v>0.8</v>
      </c>
      <c r="AX32" s="71">
        <v>0.8</v>
      </c>
      <c r="AY32" s="71">
        <v>0.8</v>
      </c>
      <c r="AZ32" s="71">
        <v>0.8</v>
      </c>
      <c r="BA32" s="71">
        <v>0.8</v>
      </c>
      <c r="BB32" s="71">
        <v>0.8</v>
      </c>
      <c r="BC32" s="71">
        <v>0.8</v>
      </c>
      <c r="BD32" s="71">
        <v>0.8</v>
      </c>
      <c r="BE32" s="71">
        <v>0.8</v>
      </c>
      <c r="BF32" s="71">
        <v>0.8</v>
      </c>
      <c r="BG32" s="71">
        <v>0.8</v>
      </c>
      <c r="BH32" s="71">
        <v>0.8</v>
      </c>
      <c r="BI32" s="71">
        <v>0.8</v>
      </c>
      <c r="BJ32" s="71">
        <v>0.8</v>
      </c>
      <c r="BK32" s="71">
        <v>0.8</v>
      </c>
      <c r="BL32" s="71">
        <v>0.8</v>
      </c>
      <c r="BM32" s="71">
        <v>0.8</v>
      </c>
      <c r="BN32" s="71">
        <v>0.8</v>
      </c>
      <c r="BO32" s="71">
        <v>0.8</v>
      </c>
      <c r="BP32" s="71">
        <v>0.8</v>
      </c>
      <c r="BQ32" s="71">
        <v>0.8</v>
      </c>
      <c r="BR32" s="71">
        <v>0.8</v>
      </c>
      <c r="BS32" s="71">
        <v>0.8</v>
      </c>
      <c r="BT32" s="71">
        <v>0.8</v>
      </c>
      <c r="BU32" s="71">
        <v>0.8</v>
      </c>
      <c r="BV32" s="71">
        <v>0.8</v>
      </c>
      <c r="BW32" s="35"/>
    </row>
    <row r="33" ht="18.75" customHeight="1">
      <c r="A33" s="22"/>
      <c r="B33" s="22"/>
      <c r="C33" s="32" t="s">
        <v>39</v>
      </c>
      <c r="D33" s="35"/>
      <c r="E33" s="35"/>
      <c r="F33" s="35"/>
      <c r="G33" s="63" t="s">
        <v>40</v>
      </c>
      <c r="H33" s="35"/>
      <c r="I33" s="64">
        <f t="shared" ref="I33:M33" si="18">SUMIFS($O33:$BV33,$O$22:$BV$22,I$22)</f>
        <v>3016.555124</v>
      </c>
      <c r="J33" s="64">
        <f t="shared" si="18"/>
        <v>3052.953543</v>
      </c>
      <c r="K33" s="64">
        <f t="shared" si="18"/>
        <v>3089.791154</v>
      </c>
      <c r="L33" s="64">
        <f t="shared" si="18"/>
        <v>3127.073255</v>
      </c>
      <c r="M33" s="64">
        <f t="shared" si="18"/>
        <v>3164.805211</v>
      </c>
      <c r="N33" s="35"/>
      <c r="O33" s="72">
        <f>Actuals!N62</f>
        <v>250</v>
      </c>
      <c r="P33" s="72">
        <f t="shared" ref="P33:BV33" si="19">O33*1.001</f>
        <v>250.25</v>
      </c>
      <c r="Q33" s="72">
        <f t="shared" si="19"/>
        <v>250.50025</v>
      </c>
      <c r="R33" s="72">
        <f t="shared" si="19"/>
        <v>250.7507503</v>
      </c>
      <c r="S33" s="72">
        <f t="shared" si="19"/>
        <v>251.001501</v>
      </c>
      <c r="T33" s="72">
        <f t="shared" si="19"/>
        <v>251.2525025</v>
      </c>
      <c r="U33" s="72">
        <f t="shared" si="19"/>
        <v>251.503755</v>
      </c>
      <c r="V33" s="72">
        <f t="shared" si="19"/>
        <v>251.7552588</v>
      </c>
      <c r="W33" s="72">
        <f t="shared" si="19"/>
        <v>252.007014</v>
      </c>
      <c r="X33" s="72">
        <f t="shared" si="19"/>
        <v>252.259021</v>
      </c>
      <c r="Y33" s="72">
        <f t="shared" si="19"/>
        <v>252.5112801</v>
      </c>
      <c r="Z33" s="72">
        <f t="shared" si="19"/>
        <v>252.7637913</v>
      </c>
      <c r="AA33" s="72">
        <f t="shared" si="19"/>
        <v>253.0165551</v>
      </c>
      <c r="AB33" s="72">
        <f t="shared" si="19"/>
        <v>253.2695717</v>
      </c>
      <c r="AC33" s="72">
        <f t="shared" si="19"/>
        <v>253.5228413</v>
      </c>
      <c r="AD33" s="72">
        <f t="shared" si="19"/>
        <v>253.7763641</v>
      </c>
      <c r="AE33" s="72">
        <f t="shared" si="19"/>
        <v>254.0301405</v>
      </c>
      <c r="AF33" s="72">
        <f t="shared" si="19"/>
        <v>254.2841706</v>
      </c>
      <c r="AG33" s="73">
        <f t="shared" si="19"/>
        <v>254.5384548</v>
      </c>
      <c r="AH33" s="73">
        <f t="shared" si="19"/>
        <v>254.7929932</v>
      </c>
      <c r="AI33" s="73">
        <f t="shared" si="19"/>
        <v>255.0477862</v>
      </c>
      <c r="AJ33" s="73">
        <f t="shared" si="19"/>
        <v>255.302834</v>
      </c>
      <c r="AK33" s="73">
        <f t="shared" si="19"/>
        <v>255.5581368</v>
      </c>
      <c r="AL33" s="73">
        <f t="shared" si="19"/>
        <v>255.813695</v>
      </c>
      <c r="AM33" s="73">
        <f t="shared" si="19"/>
        <v>256.0695087</v>
      </c>
      <c r="AN33" s="73">
        <f t="shared" si="19"/>
        <v>256.3255782</v>
      </c>
      <c r="AO33" s="73">
        <f t="shared" si="19"/>
        <v>256.5819038</v>
      </c>
      <c r="AP33" s="73">
        <f t="shared" si="19"/>
        <v>256.8384857</v>
      </c>
      <c r="AQ33" s="73">
        <f t="shared" si="19"/>
        <v>257.0953241</v>
      </c>
      <c r="AR33" s="73">
        <f t="shared" si="19"/>
        <v>257.3524195</v>
      </c>
      <c r="AS33" s="73">
        <f t="shared" si="19"/>
        <v>257.6097719</v>
      </c>
      <c r="AT33" s="73">
        <f t="shared" si="19"/>
        <v>257.8673817</v>
      </c>
      <c r="AU33" s="73">
        <f t="shared" si="19"/>
        <v>258.125249</v>
      </c>
      <c r="AV33" s="73">
        <f t="shared" si="19"/>
        <v>258.3833743</v>
      </c>
      <c r="AW33" s="73">
        <f t="shared" si="19"/>
        <v>258.6417577</v>
      </c>
      <c r="AX33" s="73">
        <f t="shared" si="19"/>
        <v>258.9003994</v>
      </c>
      <c r="AY33" s="73">
        <f t="shared" si="19"/>
        <v>259.1592998</v>
      </c>
      <c r="AZ33" s="73">
        <f t="shared" si="19"/>
        <v>259.4184591</v>
      </c>
      <c r="BA33" s="73">
        <f t="shared" si="19"/>
        <v>259.6778776</v>
      </c>
      <c r="BB33" s="73">
        <f t="shared" si="19"/>
        <v>259.9375555</v>
      </c>
      <c r="BC33" s="73">
        <f t="shared" si="19"/>
        <v>260.197493</v>
      </c>
      <c r="BD33" s="73">
        <f t="shared" si="19"/>
        <v>260.4576905</v>
      </c>
      <c r="BE33" s="73">
        <f t="shared" si="19"/>
        <v>260.7181482</v>
      </c>
      <c r="BF33" s="73">
        <f t="shared" si="19"/>
        <v>260.9788663</v>
      </c>
      <c r="BG33" s="73">
        <f t="shared" si="19"/>
        <v>261.2398452</v>
      </c>
      <c r="BH33" s="73">
        <f t="shared" si="19"/>
        <v>261.5010851</v>
      </c>
      <c r="BI33" s="73">
        <f t="shared" si="19"/>
        <v>261.7625861</v>
      </c>
      <c r="BJ33" s="73">
        <f t="shared" si="19"/>
        <v>262.0243487</v>
      </c>
      <c r="BK33" s="73">
        <f t="shared" si="19"/>
        <v>262.2863731</v>
      </c>
      <c r="BL33" s="73">
        <f t="shared" si="19"/>
        <v>262.5486594</v>
      </c>
      <c r="BM33" s="73">
        <f t="shared" si="19"/>
        <v>262.8112081</v>
      </c>
      <c r="BN33" s="73">
        <f t="shared" si="19"/>
        <v>263.0740193</v>
      </c>
      <c r="BO33" s="73">
        <f t="shared" si="19"/>
        <v>263.3370933</v>
      </c>
      <c r="BP33" s="73">
        <f t="shared" si="19"/>
        <v>263.6004304</v>
      </c>
      <c r="BQ33" s="73">
        <f t="shared" si="19"/>
        <v>263.8640309</v>
      </c>
      <c r="BR33" s="73">
        <f t="shared" si="19"/>
        <v>264.1278949</v>
      </c>
      <c r="BS33" s="73">
        <f t="shared" si="19"/>
        <v>264.3920228</v>
      </c>
      <c r="BT33" s="73">
        <f t="shared" si="19"/>
        <v>264.6564148</v>
      </c>
      <c r="BU33" s="73">
        <f t="shared" si="19"/>
        <v>264.9210712</v>
      </c>
      <c r="BV33" s="73">
        <f t="shared" si="19"/>
        <v>265.1859923</v>
      </c>
      <c r="BW33" s="35"/>
    </row>
    <row r="34" ht="18.75" customHeight="1">
      <c r="A34" s="22"/>
      <c r="B34" s="22"/>
      <c r="C34" s="32" t="s">
        <v>41</v>
      </c>
      <c r="D34" s="35"/>
      <c r="E34" s="35"/>
      <c r="F34" s="35"/>
      <c r="G34" s="63" t="s">
        <v>40</v>
      </c>
      <c r="H34" s="35"/>
      <c r="I34" s="64">
        <f t="shared" ref="I34:M34" si="20">SUMIFS($O34:$BV34,$O$22:$BV$22,I$22)</f>
        <v>7239.732297</v>
      </c>
      <c r="J34" s="64">
        <f t="shared" si="20"/>
        <v>7327.088504</v>
      </c>
      <c r="K34" s="64">
        <f t="shared" si="20"/>
        <v>7415.498769</v>
      </c>
      <c r="L34" s="64">
        <f t="shared" si="20"/>
        <v>7504.975812</v>
      </c>
      <c r="M34" s="64">
        <f t="shared" si="20"/>
        <v>7595.532505</v>
      </c>
      <c r="N34" s="35"/>
      <c r="O34" s="72">
        <f>Actuals!N63</f>
        <v>600</v>
      </c>
      <c r="P34" s="72">
        <f t="shared" ref="P34:BV34" si="21">O34*1.001</f>
        <v>600.6</v>
      </c>
      <c r="Q34" s="72">
        <f t="shared" si="21"/>
        <v>601.2006</v>
      </c>
      <c r="R34" s="72">
        <f t="shared" si="21"/>
        <v>601.8018006</v>
      </c>
      <c r="S34" s="72">
        <f t="shared" si="21"/>
        <v>602.4036024</v>
      </c>
      <c r="T34" s="72">
        <f t="shared" si="21"/>
        <v>603.006006</v>
      </c>
      <c r="U34" s="72">
        <f t="shared" si="21"/>
        <v>603.609012</v>
      </c>
      <c r="V34" s="72">
        <f t="shared" si="21"/>
        <v>604.212621</v>
      </c>
      <c r="W34" s="72">
        <f t="shared" si="21"/>
        <v>604.8168336</v>
      </c>
      <c r="X34" s="72">
        <f t="shared" si="21"/>
        <v>605.4216505</v>
      </c>
      <c r="Y34" s="72">
        <f t="shared" si="21"/>
        <v>606.0270721</v>
      </c>
      <c r="Z34" s="72">
        <f t="shared" si="21"/>
        <v>606.6330992</v>
      </c>
      <c r="AA34" s="72">
        <f t="shared" si="21"/>
        <v>607.2397323</v>
      </c>
      <c r="AB34" s="72">
        <f t="shared" si="21"/>
        <v>607.846972</v>
      </c>
      <c r="AC34" s="72">
        <f t="shared" si="21"/>
        <v>608.454819</v>
      </c>
      <c r="AD34" s="72">
        <f t="shared" si="21"/>
        <v>609.0632738</v>
      </c>
      <c r="AE34" s="72">
        <f t="shared" si="21"/>
        <v>609.6723371</v>
      </c>
      <c r="AF34" s="72">
        <f t="shared" si="21"/>
        <v>610.2820094</v>
      </c>
      <c r="AG34" s="73">
        <f t="shared" si="21"/>
        <v>610.8922914</v>
      </c>
      <c r="AH34" s="73">
        <f t="shared" si="21"/>
        <v>611.5031837</v>
      </c>
      <c r="AI34" s="73">
        <f t="shared" si="21"/>
        <v>612.1146869</v>
      </c>
      <c r="AJ34" s="73">
        <f t="shared" si="21"/>
        <v>612.7268016</v>
      </c>
      <c r="AK34" s="73">
        <f t="shared" si="21"/>
        <v>613.3395284</v>
      </c>
      <c r="AL34" s="73">
        <f t="shared" si="21"/>
        <v>613.9528679</v>
      </c>
      <c r="AM34" s="73">
        <f t="shared" si="21"/>
        <v>614.5668208</v>
      </c>
      <c r="AN34" s="73">
        <f t="shared" si="21"/>
        <v>615.1813876</v>
      </c>
      <c r="AO34" s="73">
        <f t="shared" si="21"/>
        <v>615.796569</v>
      </c>
      <c r="AP34" s="73">
        <f t="shared" si="21"/>
        <v>616.4123656</v>
      </c>
      <c r="AQ34" s="73">
        <f t="shared" si="21"/>
        <v>617.0287779</v>
      </c>
      <c r="AR34" s="73">
        <f t="shared" si="21"/>
        <v>617.6458067</v>
      </c>
      <c r="AS34" s="73">
        <f t="shared" si="21"/>
        <v>618.2634525</v>
      </c>
      <c r="AT34" s="73">
        <f t="shared" si="21"/>
        <v>618.881716</v>
      </c>
      <c r="AU34" s="73">
        <f t="shared" si="21"/>
        <v>619.5005977</v>
      </c>
      <c r="AV34" s="73">
        <f t="shared" si="21"/>
        <v>620.1200983</v>
      </c>
      <c r="AW34" s="73">
        <f t="shared" si="21"/>
        <v>620.7402184</v>
      </c>
      <c r="AX34" s="73">
        <f t="shared" si="21"/>
        <v>621.3609586</v>
      </c>
      <c r="AY34" s="73">
        <f t="shared" si="21"/>
        <v>621.9823196</v>
      </c>
      <c r="AZ34" s="73">
        <f t="shared" si="21"/>
        <v>622.6043019</v>
      </c>
      <c r="BA34" s="73">
        <f t="shared" si="21"/>
        <v>623.2269062</v>
      </c>
      <c r="BB34" s="73">
        <f t="shared" si="21"/>
        <v>623.8501331</v>
      </c>
      <c r="BC34" s="73">
        <f t="shared" si="21"/>
        <v>624.4739832</v>
      </c>
      <c r="BD34" s="73">
        <f t="shared" si="21"/>
        <v>625.0984572</v>
      </c>
      <c r="BE34" s="73">
        <f t="shared" si="21"/>
        <v>625.7235557</v>
      </c>
      <c r="BF34" s="73">
        <f t="shared" si="21"/>
        <v>626.3492792</v>
      </c>
      <c r="BG34" s="73">
        <f t="shared" si="21"/>
        <v>626.9756285</v>
      </c>
      <c r="BH34" s="73">
        <f t="shared" si="21"/>
        <v>627.6026041</v>
      </c>
      <c r="BI34" s="73">
        <f t="shared" si="21"/>
        <v>628.2302067</v>
      </c>
      <c r="BJ34" s="73">
        <f t="shared" si="21"/>
        <v>628.8584369</v>
      </c>
      <c r="BK34" s="73">
        <f t="shared" si="21"/>
        <v>629.4872954</v>
      </c>
      <c r="BL34" s="73">
        <f t="shared" si="21"/>
        <v>630.1167827</v>
      </c>
      <c r="BM34" s="73">
        <f t="shared" si="21"/>
        <v>630.7468995</v>
      </c>
      <c r="BN34" s="73">
        <f t="shared" si="21"/>
        <v>631.3776464</v>
      </c>
      <c r="BO34" s="73">
        <f t="shared" si="21"/>
        <v>632.009024</v>
      </c>
      <c r="BP34" s="73">
        <f t="shared" si="21"/>
        <v>632.641033</v>
      </c>
      <c r="BQ34" s="73">
        <f t="shared" si="21"/>
        <v>633.2736741</v>
      </c>
      <c r="BR34" s="73">
        <f t="shared" si="21"/>
        <v>633.9069477</v>
      </c>
      <c r="BS34" s="73">
        <f t="shared" si="21"/>
        <v>634.5408547</v>
      </c>
      <c r="BT34" s="73">
        <f t="shared" si="21"/>
        <v>635.1753955</v>
      </c>
      <c r="BU34" s="73">
        <f t="shared" si="21"/>
        <v>635.8105709</v>
      </c>
      <c r="BV34" s="73">
        <f t="shared" si="21"/>
        <v>636.4463815</v>
      </c>
      <c r="BW34" s="35"/>
    </row>
    <row r="35" ht="18.75" customHeight="1">
      <c r="A35" s="22"/>
      <c r="B35" s="22"/>
      <c r="C35" s="32" t="s">
        <v>42</v>
      </c>
      <c r="D35" s="35"/>
      <c r="E35" s="35"/>
      <c r="F35" s="35"/>
      <c r="G35" s="63" t="s">
        <v>40</v>
      </c>
      <c r="H35" s="35"/>
      <c r="I35" s="64">
        <f t="shared" ref="I35:M35" si="22">SUMIFS($O35:$BV35,$O$22:$BV$22,I$22)</f>
        <v>4826.488198</v>
      </c>
      <c r="J35" s="64">
        <f t="shared" si="22"/>
        <v>4884.725669</v>
      </c>
      <c r="K35" s="64">
        <f t="shared" si="22"/>
        <v>4943.665846</v>
      </c>
      <c r="L35" s="64">
        <f t="shared" si="22"/>
        <v>5003.317208</v>
      </c>
      <c r="M35" s="64">
        <f t="shared" si="22"/>
        <v>5063.688337</v>
      </c>
      <c r="N35" s="35"/>
      <c r="O35" s="72">
        <f>Actuals!N64</f>
        <v>400</v>
      </c>
      <c r="P35" s="72">
        <f t="shared" ref="P35:BV35" si="23">O35*1.001</f>
        <v>400.4</v>
      </c>
      <c r="Q35" s="72">
        <f t="shared" si="23"/>
        <v>400.8004</v>
      </c>
      <c r="R35" s="72">
        <f t="shared" si="23"/>
        <v>401.2012004</v>
      </c>
      <c r="S35" s="72">
        <f t="shared" si="23"/>
        <v>401.6024016</v>
      </c>
      <c r="T35" s="72">
        <f t="shared" si="23"/>
        <v>402.004004</v>
      </c>
      <c r="U35" s="72">
        <f t="shared" si="23"/>
        <v>402.406008</v>
      </c>
      <c r="V35" s="72">
        <f t="shared" si="23"/>
        <v>402.808414</v>
      </c>
      <c r="W35" s="72">
        <f t="shared" si="23"/>
        <v>403.2112224</v>
      </c>
      <c r="X35" s="72">
        <f t="shared" si="23"/>
        <v>403.6144337</v>
      </c>
      <c r="Y35" s="72">
        <f t="shared" si="23"/>
        <v>404.0180481</v>
      </c>
      <c r="Z35" s="72">
        <f t="shared" si="23"/>
        <v>404.4220661</v>
      </c>
      <c r="AA35" s="72">
        <f t="shared" si="23"/>
        <v>404.8264882</v>
      </c>
      <c r="AB35" s="72">
        <f t="shared" si="23"/>
        <v>405.2313147</v>
      </c>
      <c r="AC35" s="72">
        <f t="shared" si="23"/>
        <v>405.636546</v>
      </c>
      <c r="AD35" s="72">
        <f t="shared" si="23"/>
        <v>406.0421825</v>
      </c>
      <c r="AE35" s="72">
        <f t="shared" si="23"/>
        <v>406.4482247</v>
      </c>
      <c r="AF35" s="72">
        <f t="shared" si="23"/>
        <v>406.854673</v>
      </c>
      <c r="AG35" s="73">
        <f t="shared" si="23"/>
        <v>407.2615276</v>
      </c>
      <c r="AH35" s="73">
        <f t="shared" si="23"/>
        <v>407.6687892</v>
      </c>
      <c r="AI35" s="73">
        <f t="shared" si="23"/>
        <v>408.0764579</v>
      </c>
      <c r="AJ35" s="73">
        <f t="shared" si="23"/>
        <v>408.4845344</v>
      </c>
      <c r="AK35" s="73">
        <f t="shared" si="23"/>
        <v>408.8930189</v>
      </c>
      <c r="AL35" s="73">
        <f t="shared" si="23"/>
        <v>409.301912</v>
      </c>
      <c r="AM35" s="73">
        <f t="shared" si="23"/>
        <v>409.7112139</v>
      </c>
      <c r="AN35" s="73">
        <f t="shared" si="23"/>
        <v>410.1209251</v>
      </c>
      <c r="AO35" s="73">
        <f t="shared" si="23"/>
        <v>410.531046</v>
      </c>
      <c r="AP35" s="73">
        <f t="shared" si="23"/>
        <v>410.9415771</v>
      </c>
      <c r="AQ35" s="73">
        <f t="shared" si="23"/>
        <v>411.3525186</v>
      </c>
      <c r="AR35" s="73">
        <f t="shared" si="23"/>
        <v>411.7638711</v>
      </c>
      <c r="AS35" s="73">
        <f t="shared" si="23"/>
        <v>412.175635</v>
      </c>
      <c r="AT35" s="73">
        <f t="shared" si="23"/>
        <v>412.5878107</v>
      </c>
      <c r="AU35" s="73">
        <f t="shared" si="23"/>
        <v>413.0003985</v>
      </c>
      <c r="AV35" s="73">
        <f t="shared" si="23"/>
        <v>413.4133989</v>
      </c>
      <c r="AW35" s="73">
        <f t="shared" si="23"/>
        <v>413.8268123</v>
      </c>
      <c r="AX35" s="73">
        <f t="shared" si="23"/>
        <v>414.2406391</v>
      </c>
      <c r="AY35" s="73">
        <f t="shared" si="23"/>
        <v>414.6548797</v>
      </c>
      <c r="AZ35" s="73">
        <f t="shared" si="23"/>
        <v>415.0695346</v>
      </c>
      <c r="BA35" s="73">
        <f t="shared" si="23"/>
        <v>415.4846041</v>
      </c>
      <c r="BB35" s="73">
        <f t="shared" si="23"/>
        <v>415.9000887</v>
      </c>
      <c r="BC35" s="73">
        <f t="shared" si="23"/>
        <v>416.3159888</v>
      </c>
      <c r="BD35" s="73">
        <f t="shared" si="23"/>
        <v>416.7323048</v>
      </c>
      <c r="BE35" s="73">
        <f t="shared" si="23"/>
        <v>417.1490371</v>
      </c>
      <c r="BF35" s="73">
        <f t="shared" si="23"/>
        <v>417.5661862</v>
      </c>
      <c r="BG35" s="73">
        <f t="shared" si="23"/>
        <v>417.9837523</v>
      </c>
      <c r="BH35" s="73">
        <f t="shared" si="23"/>
        <v>418.4017361</v>
      </c>
      <c r="BI35" s="73">
        <f t="shared" si="23"/>
        <v>418.8201378</v>
      </c>
      <c r="BJ35" s="73">
        <f t="shared" si="23"/>
        <v>419.238958</v>
      </c>
      <c r="BK35" s="73">
        <f t="shared" si="23"/>
        <v>419.6581969</v>
      </c>
      <c r="BL35" s="73">
        <f t="shared" si="23"/>
        <v>420.0778551</v>
      </c>
      <c r="BM35" s="73">
        <f t="shared" si="23"/>
        <v>420.497933</v>
      </c>
      <c r="BN35" s="73">
        <f t="shared" si="23"/>
        <v>420.9184309</v>
      </c>
      <c r="BO35" s="73">
        <f t="shared" si="23"/>
        <v>421.3393493</v>
      </c>
      <c r="BP35" s="73">
        <f t="shared" si="23"/>
        <v>421.7606887</v>
      </c>
      <c r="BQ35" s="73">
        <f t="shared" si="23"/>
        <v>422.1824494</v>
      </c>
      <c r="BR35" s="73">
        <f t="shared" si="23"/>
        <v>422.6046318</v>
      </c>
      <c r="BS35" s="73">
        <f t="shared" si="23"/>
        <v>423.0272365</v>
      </c>
      <c r="BT35" s="73">
        <f t="shared" si="23"/>
        <v>423.4502637</v>
      </c>
      <c r="BU35" s="73">
        <f t="shared" si="23"/>
        <v>423.873714</v>
      </c>
      <c r="BV35" s="73">
        <f t="shared" si="23"/>
        <v>424.2975877</v>
      </c>
      <c r="BW35" s="35"/>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row>
    <row r="39">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c r="BT39" s="20"/>
      <c r="BU39" s="20"/>
      <c r="BV39" s="20"/>
      <c r="BW39" s="20"/>
    </row>
  </sheetData>
  <mergeCells count="6">
    <mergeCell ref="A2:D2"/>
    <mergeCell ref="C4:E4"/>
    <mergeCell ref="C5:E5"/>
    <mergeCell ref="C6:E6"/>
    <mergeCell ref="C7:E7"/>
    <mergeCell ref="C8:E8"/>
  </mergeCells>
  <conditionalFormatting sqref="O32:BV35 O26:BV26 O29:BV29">
    <cfRule type="expression" dxfId="0" priority="1">
      <formula>O$12="Actual"</formula>
    </cfRule>
  </conditionalFormatting>
  <conditionalFormatting sqref="AG12:BV12">
    <cfRule type="expression" dxfId="1" priority="2">
      <formula>AG$12="Actual"</formula>
    </cfRule>
  </conditionalFormatting>
  <conditionalFormatting sqref="K12">
    <cfRule type="expression" dxfId="2" priority="3">
      <formula>K$12="Actuals"</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7.0" ySplit="10.0" topLeftCell="H11" activePane="bottomRight" state="frozen"/>
      <selection activeCell="H1" sqref="H1" pane="topRight"/>
      <selection activeCell="A11" sqref="A11" pane="bottomLeft"/>
      <selection activeCell="H11" sqref="H11" pane="bottomRight"/>
    </sheetView>
  </sheetViews>
  <sheetFormatPr customHeight="1" defaultColWidth="12.63" defaultRowHeight="15.75" outlineLevelRow="1"/>
  <cols>
    <col customWidth="1" min="1" max="1" width="3.88"/>
    <col customWidth="1" min="2" max="2" width="1.13"/>
    <col customWidth="1" min="3" max="3" width="31.13"/>
    <col customWidth="1" min="4" max="4" width="1.88"/>
    <col customWidth="1" min="5" max="5" width="1.75"/>
    <col customWidth="1" min="6" max="6" width="1.5"/>
    <col customWidth="1" min="7" max="7" width="8.88"/>
    <col customWidth="1" min="8" max="8" width="12.88"/>
    <col customWidth="1" min="12" max="12" width="11.88"/>
    <col customWidth="1" min="13" max="13" width="3.13"/>
    <col customWidth="1" min="74" max="74" width="2.75"/>
  </cols>
  <sheetData>
    <row r="1">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row>
    <row r="2">
      <c r="A2" s="20"/>
      <c r="B2" s="20"/>
      <c r="C2" s="21" t="s">
        <v>43</v>
      </c>
      <c r="D2" s="21"/>
      <c r="E2" s="21"/>
      <c r="F2" s="21"/>
      <c r="G2" s="21"/>
      <c r="H2" s="21"/>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row>
    <row r="3">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row>
    <row r="4" ht="22.5" customHeight="1">
      <c r="A4" s="20"/>
      <c r="B4" s="74"/>
      <c r="C4" s="24" t="s">
        <v>11</v>
      </c>
      <c r="F4" s="24"/>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row>
    <row r="5" ht="30.75" customHeight="1">
      <c r="A5" s="22"/>
      <c r="B5" s="75"/>
      <c r="C5" s="27" t="s">
        <v>44</v>
      </c>
      <c r="F5" s="27"/>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c r="BU5" s="22"/>
      <c r="BV5" s="22"/>
    </row>
    <row r="6" ht="63.75" customHeight="1">
      <c r="A6" s="22"/>
      <c r="B6" s="75"/>
      <c r="C6" s="76" t="s">
        <v>45</v>
      </c>
      <c r="F6" s="27"/>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row>
    <row r="7" ht="7.5" customHeight="1">
      <c r="A7" s="20"/>
      <c r="B7" s="20"/>
      <c r="C7" s="27"/>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row>
    <row r="8">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c r="AI8" s="20"/>
      <c r="AJ8" s="20"/>
      <c r="AK8" s="20"/>
      <c r="AL8" s="20"/>
      <c r="AM8" s="20"/>
      <c r="AN8" s="20"/>
      <c r="AO8" s="20"/>
      <c r="AP8" s="20"/>
      <c r="AQ8" s="20"/>
      <c r="AR8" s="20"/>
      <c r="AS8" s="20"/>
      <c r="AT8" s="20"/>
      <c r="AU8" s="20"/>
      <c r="AV8" s="20"/>
      <c r="AW8" s="20"/>
      <c r="AX8" s="20"/>
      <c r="AY8" s="20"/>
      <c r="AZ8" s="20"/>
      <c r="BA8" s="20"/>
      <c r="BB8" s="20"/>
      <c r="BC8" s="20"/>
      <c r="BD8" s="20"/>
      <c r="BE8" s="20"/>
      <c r="BF8" s="20"/>
      <c r="BG8" s="20"/>
      <c r="BH8" s="20"/>
      <c r="BI8" s="20"/>
      <c r="BJ8" s="20"/>
      <c r="BK8" s="20"/>
      <c r="BL8" s="20"/>
      <c r="BM8" s="20"/>
      <c r="BN8" s="20"/>
      <c r="BO8" s="20"/>
      <c r="BP8" s="20"/>
      <c r="BQ8" s="20"/>
      <c r="BR8" s="20"/>
      <c r="BS8" s="20"/>
      <c r="BT8" s="20"/>
      <c r="BU8" s="20"/>
      <c r="BV8" s="20"/>
    </row>
    <row r="9">
      <c r="A9" s="20"/>
      <c r="B9" s="20"/>
      <c r="C9" s="20"/>
      <c r="D9" s="20"/>
      <c r="E9" s="20"/>
      <c r="F9" s="20"/>
      <c r="G9" s="77"/>
      <c r="H9" s="78" t="str">
        <f t="shared" ref="H9:L9" si="1">IF(H17=1,"Actual","Forecast")</f>
        <v>Actual</v>
      </c>
      <c r="I9" s="78" t="str">
        <f t="shared" si="1"/>
        <v>Actual</v>
      </c>
      <c r="J9" s="79" t="str">
        <f t="shared" si="1"/>
        <v>Forecast</v>
      </c>
      <c r="K9" s="79" t="str">
        <f t="shared" si="1"/>
        <v>Forecast</v>
      </c>
      <c r="L9" s="79" t="str">
        <f t="shared" si="1"/>
        <v>Forecast</v>
      </c>
      <c r="M9" s="20"/>
      <c r="N9" s="78" t="str">
        <f t="shared" ref="N9:BU9" si="2">IF(N17=1,"Actual","Forecast")</f>
        <v>Actual</v>
      </c>
      <c r="O9" s="78" t="str">
        <f t="shared" si="2"/>
        <v>Actual</v>
      </c>
      <c r="P9" s="78" t="str">
        <f t="shared" si="2"/>
        <v>Actual</v>
      </c>
      <c r="Q9" s="78" t="str">
        <f t="shared" si="2"/>
        <v>Actual</v>
      </c>
      <c r="R9" s="78" t="str">
        <f t="shared" si="2"/>
        <v>Actual</v>
      </c>
      <c r="S9" s="78" t="str">
        <f t="shared" si="2"/>
        <v>Actual</v>
      </c>
      <c r="T9" s="78" t="str">
        <f t="shared" si="2"/>
        <v>Actual</v>
      </c>
      <c r="U9" s="78" t="str">
        <f t="shared" si="2"/>
        <v>Actual</v>
      </c>
      <c r="V9" s="78" t="str">
        <f t="shared" si="2"/>
        <v>Actual</v>
      </c>
      <c r="W9" s="78" t="str">
        <f t="shared" si="2"/>
        <v>Actual</v>
      </c>
      <c r="X9" s="78" t="str">
        <f t="shared" si="2"/>
        <v>Actual</v>
      </c>
      <c r="Y9" s="78" t="str">
        <f t="shared" si="2"/>
        <v>Actual</v>
      </c>
      <c r="Z9" s="78" t="str">
        <f t="shared" si="2"/>
        <v>Actual</v>
      </c>
      <c r="AA9" s="78" t="str">
        <f t="shared" si="2"/>
        <v>Actual</v>
      </c>
      <c r="AB9" s="78" t="str">
        <f t="shared" si="2"/>
        <v>Actual</v>
      </c>
      <c r="AC9" s="78" t="str">
        <f t="shared" si="2"/>
        <v>Actual</v>
      </c>
      <c r="AD9" s="78" t="str">
        <f t="shared" si="2"/>
        <v>Actual</v>
      </c>
      <c r="AE9" s="78" t="str">
        <f t="shared" si="2"/>
        <v>Actual</v>
      </c>
      <c r="AF9" s="79" t="str">
        <f t="shared" si="2"/>
        <v>Forecast</v>
      </c>
      <c r="AG9" s="79" t="str">
        <f t="shared" si="2"/>
        <v>Forecast</v>
      </c>
      <c r="AH9" s="79" t="str">
        <f t="shared" si="2"/>
        <v>Forecast</v>
      </c>
      <c r="AI9" s="79" t="str">
        <f t="shared" si="2"/>
        <v>Forecast</v>
      </c>
      <c r="AJ9" s="79" t="str">
        <f t="shared" si="2"/>
        <v>Forecast</v>
      </c>
      <c r="AK9" s="79" t="str">
        <f t="shared" si="2"/>
        <v>Forecast</v>
      </c>
      <c r="AL9" s="79" t="str">
        <f t="shared" si="2"/>
        <v>Forecast</v>
      </c>
      <c r="AM9" s="79" t="str">
        <f t="shared" si="2"/>
        <v>Forecast</v>
      </c>
      <c r="AN9" s="79" t="str">
        <f t="shared" si="2"/>
        <v>Forecast</v>
      </c>
      <c r="AO9" s="79" t="str">
        <f t="shared" si="2"/>
        <v>Forecast</v>
      </c>
      <c r="AP9" s="79" t="str">
        <f t="shared" si="2"/>
        <v>Forecast</v>
      </c>
      <c r="AQ9" s="79" t="str">
        <f t="shared" si="2"/>
        <v>Forecast</v>
      </c>
      <c r="AR9" s="79" t="str">
        <f t="shared" si="2"/>
        <v>Forecast</v>
      </c>
      <c r="AS9" s="79" t="str">
        <f t="shared" si="2"/>
        <v>Forecast</v>
      </c>
      <c r="AT9" s="79" t="str">
        <f t="shared" si="2"/>
        <v>Forecast</v>
      </c>
      <c r="AU9" s="79" t="str">
        <f t="shared" si="2"/>
        <v>Forecast</v>
      </c>
      <c r="AV9" s="79" t="str">
        <f t="shared" si="2"/>
        <v>Forecast</v>
      </c>
      <c r="AW9" s="79" t="str">
        <f t="shared" si="2"/>
        <v>Forecast</v>
      </c>
      <c r="AX9" s="79" t="str">
        <f t="shared" si="2"/>
        <v>Forecast</v>
      </c>
      <c r="AY9" s="79" t="str">
        <f t="shared" si="2"/>
        <v>Forecast</v>
      </c>
      <c r="AZ9" s="79" t="str">
        <f t="shared" si="2"/>
        <v>Forecast</v>
      </c>
      <c r="BA9" s="79" t="str">
        <f t="shared" si="2"/>
        <v>Forecast</v>
      </c>
      <c r="BB9" s="79" t="str">
        <f t="shared" si="2"/>
        <v>Forecast</v>
      </c>
      <c r="BC9" s="79" t="str">
        <f t="shared" si="2"/>
        <v>Forecast</v>
      </c>
      <c r="BD9" s="79" t="str">
        <f t="shared" si="2"/>
        <v>Forecast</v>
      </c>
      <c r="BE9" s="79" t="str">
        <f t="shared" si="2"/>
        <v>Forecast</v>
      </c>
      <c r="BF9" s="79" t="str">
        <f t="shared" si="2"/>
        <v>Forecast</v>
      </c>
      <c r="BG9" s="79" t="str">
        <f t="shared" si="2"/>
        <v>Forecast</v>
      </c>
      <c r="BH9" s="79" t="str">
        <f t="shared" si="2"/>
        <v>Forecast</v>
      </c>
      <c r="BI9" s="79" t="str">
        <f t="shared" si="2"/>
        <v>Forecast</v>
      </c>
      <c r="BJ9" s="79" t="str">
        <f t="shared" si="2"/>
        <v>Forecast</v>
      </c>
      <c r="BK9" s="79" t="str">
        <f t="shared" si="2"/>
        <v>Forecast</v>
      </c>
      <c r="BL9" s="79" t="str">
        <f t="shared" si="2"/>
        <v>Forecast</v>
      </c>
      <c r="BM9" s="79" t="str">
        <f t="shared" si="2"/>
        <v>Forecast</v>
      </c>
      <c r="BN9" s="79" t="str">
        <f t="shared" si="2"/>
        <v>Forecast</v>
      </c>
      <c r="BO9" s="79" t="str">
        <f t="shared" si="2"/>
        <v>Forecast</v>
      </c>
      <c r="BP9" s="79" t="str">
        <f t="shared" si="2"/>
        <v>Forecast</v>
      </c>
      <c r="BQ9" s="79" t="str">
        <f t="shared" si="2"/>
        <v>Forecast</v>
      </c>
      <c r="BR9" s="79" t="str">
        <f t="shared" si="2"/>
        <v>Forecast</v>
      </c>
      <c r="BS9" s="79" t="str">
        <f t="shared" si="2"/>
        <v>Forecast</v>
      </c>
      <c r="BT9" s="79" t="str">
        <f t="shared" si="2"/>
        <v>Forecast</v>
      </c>
      <c r="BU9" s="79" t="str">
        <f t="shared" si="2"/>
        <v>Forecast</v>
      </c>
      <c r="BV9" s="80"/>
    </row>
    <row r="10" collapsed="1">
      <c r="A10" s="20"/>
      <c r="B10" s="20"/>
      <c r="C10" s="20"/>
      <c r="D10" s="20"/>
      <c r="E10" s="20"/>
      <c r="F10" s="20"/>
      <c r="G10" s="81"/>
      <c r="H10" s="82">
        <f t="shared" ref="H10:L10" si="3">H11</f>
        <v>44562</v>
      </c>
      <c r="I10" s="83">
        <f t="shared" si="3"/>
        <v>44927</v>
      </c>
      <c r="J10" s="82">
        <f t="shared" si="3"/>
        <v>45292</v>
      </c>
      <c r="K10" s="83">
        <f t="shared" si="3"/>
        <v>45658</v>
      </c>
      <c r="L10" s="82">
        <f t="shared" si="3"/>
        <v>46023</v>
      </c>
      <c r="M10" s="20"/>
      <c r="N10" s="84">
        <f t="shared" ref="N10:BU10" si="4">N11</f>
        <v>44562</v>
      </c>
      <c r="O10" s="85">
        <f t="shared" si="4"/>
        <v>44593</v>
      </c>
      <c r="P10" s="85">
        <f t="shared" si="4"/>
        <v>44621</v>
      </c>
      <c r="Q10" s="85">
        <f t="shared" si="4"/>
        <v>44652</v>
      </c>
      <c r="R10" s="85">
        <f t="shared" si="4"/>
        <v>44682</v>
      </c>
      <c r="S10" s="85">
        <f t="shared" si="4"/>
        <v>44713</v>
      </c>
      <c r="T10" s="85">
        <f t="shared" si="4"/>
        <v>44743</v>
      </c>
      <c r="U10" s="85">
        <f t="shared" si="4"/>
        <v>44774</v>
      </c>
      <c r="V10" s="85">
        <f t="shared" si="4"/>
        <v>44805</v>
      </c>
      <c r="W10" s="85">
        <f t="shared" si="4"/>
        <v>44835</v>
      </c>
      <c r="X10" s="85">
        <f t="shared" si="4"/>
        <v>44866</v>
      </c>
      <c r="Y10" s="85">
        <f t="shared" si="4"/>
        <v>44896</v>
      </c>
      <c r="Z10" s="85">
        <f t="shared" si="4"/>
        <v>44927</v>
      </c>
      <c r="AA10" s="85">
        <f t="shared" si="4"/>
        <v>44958</v>
      </c>
      <c r="AB10" s="85">
        <f t="shared" si="4"/>
        <v>44986</v>
      </c>
      <c r="AC10" s="85">
        <f t="shared" si="4"/>
        <v>45017</v>
      </c>
      <c r="AD10" s="85">
        <f t="shared" si="4"/>
        <v>45047</v>
      </c>
      <c r="AE10" s="85">
        <f t="shared" si="4"/>
        <v>45078</v>
      </c>
      <c r="AF10" s="85">
        <f t="shared" si="4"/>
        <v>45108</v>
      </c>
      <c r="AG10" s="85">
        <f t="shared" si="4"/>
        <v>45139</v>
      </c>
      <c r="AH10" s="85">
        <f t="shared" si="4"/>
        <v>45170</v>
      </c>
      <c r="AI10" s="85">
        <f t="shared" si="4"/>
        <v>45200</v>
      </c>
      <c r="AJ10" s="85">
        <f t="shared" si="4"/>
        <v>45231</v>
      </c>
      <c r="AK10" s="85">
        <f t="shared" si="4"/>
        <v>45261</v>
      </c>
      <c r="AL10" s="85">
        <f t="shared" si="4"/>
        <v>45292</v>
      </c>
      <c r="AM10" s="85">
        <f t="shared" si="4"/>
        <v>45323</v>
      </c>
      <c r="AN10" s="85">
        <f t="shared" si="4"/>
        <v>45352</v>
      </c>
      <c r="AO10" s="85">
        <f t="shared" si="4"/>
        <v>45383</v>
      </c>
      <c r="AP10" s="85">
        <f t="shared" si="4"/>
        <v>45413</v>
      </c>
      <c r="AQ10" s="85">
        <f t="shared" si="4"/>
        <v>45444</v>
      </c>
      <c r="AR10" s="85">
        <f t="shared" si="4"/>
        <v>45474</v>
      </c>
      <c r="AS10" s="85">
        <f t="shared" si="4"/>
        <v>45505</v>
      </c>
      <c r="AT10" s="85">
        <f t="shared" si="4"/>
        <v>45536</v>
      </c>
      <c r="AU10" s="85">
        <f t="shared" si="4"/>
        <v>45566</v>
      </c>
      <c r="AV10" s="85">
        <f t="shared" si="4"/>
        <v>45597</v>
      </c>
      <c r="AW10" s="85">
        <f t="shared" si="4"/>
        <v>45627</v>
      </c>
      <c r="AX10" s="85">
        <f t="shared" si="4"/>
        <v>45658</v>
      </c>
      <c r="AY10" s="85">
        <f t="shared" si="4"/>
        <v>45689</v>
      </c>
      <c r="AZ10" s="85">
        <f t="shared" si="4"/>
        <v>45717</v>
      </c>
      <c r="BA10" s="85">
        <f t="shared" si="4"/>
        <v>45748</v>
      </c>
      <c r="BB10" s="85">
        <f t="shared" si="4"/>
        <v>45778</v>
      </c>
      <c r="BC10" s="85">
        <f t="shared" si="4"/>
        <v>45809</v>
      </c>
      <c r="BD10" s="85">
        <f t="shared" si="4"/>
        <v>45839</v>
      </c>
      <c r="BE10" s="85">
        <f t="shared" si="4"/>
        <v>45870</v>
      </c>
      <c r="BF10" s="85">
        <f t="shared" si="4"/>
        <v>45901</v>
      </c>
      <c r="BG10" s="85">
        <f t="shared" si="4"/>
        <v>45931</v>
      </c>
      <c r="BH10" s="85">
        <f t="shared" si="4"/>
        <v>45962</v>
      </c>
      <c r="BI10" s="85">
        <f t="shared" si="4"/>
        <v>45992</v>
      </c>
      <c r="BJ10" s="85">
        <f t="shared" si="4"/>
        <v>46023</v>
      </c>
      <c r="BK10" s="85">
        <f t="shared" si="4"/>
        <v>46054</v>
      </c>
      <c r="BL10" s="85">
        <f t="shared" si="4"/>
        <v>46082</v>
      </c>
      <c r="BM10" s="85">
        <f t="shared" si="4"/>
        <v>46113</v>
      </c>
      <c r="BN10" s="85">
        <f t="shared" si="4"/>
        <v>46143</v>
      </c>
      <c r="BO10" s="85">
        <f t="shared" si="4"/>
        <v>46174</v>
      </c>
      <c r="BP10" s="85">
        <f t="shared" si="4"/>
        <v>46204</v>
      </c>
      <c r="BQ10" s="85">
        <f t="shared" si="4"/>
        <v>46235</v>
      </c>
      <c r="BR10" s="85">
        <f t="shared" si="4"/>
        <v>46266</v>
      </c>
      <c r="BS10" s="85">
        <f t="shared" si="4"/>
        <v>46296</v>
      </c>
      <c r="BT10" s="85">
        <f t="shared" si="4"/>
        <v>46327</v>
      </c>
      <c r="BU10" s="85">
        <f t="shared" si="4"/>
        <v>46357</v>
      </c>
      <c r="BV10" s="86"/>
    </row>
    <row r="11" hidden="1" outlineLevel="1">
      <c r="A11" s="20"/>
      <c r="B11" s="20"/>
      <c r="C11" s="20"/>
      <c r="D11" s="20"/>
      <c r="E11" s="20"/>
      <c r="F11" s="20"/>
      <c r="G11" s="87" t="s">
        <v>21</v>
      </c>
      <c r="H11" s="88">
        <f>'Key Assumptions'!D13</f>
        <v>44562</v>
      </c>
      <c r="I11" s="88">
        <f t="shared" ref="I11:L11" si="5">H12+1</f>
        <v>44927</v>
      </c>
      <c r="J11" s="88">
        <f t="shared" si="5"/>
        <v>45292</v>
      </c>
      <c r="K11" s="88">
        <f t="shared" si="5"/>
        <v>45658</v>
      </c>
      <c r="L11" s="88">
        <f t="shared" si="5"/>
        <v>46023</v>
      </c>
      <c r="M11" s="20"/>
      <c r="N11" s="88">
        <f>'Key Assumptions'!D13</f>
        <v>44562</v>
      </c>
      <c r="O11" s="89">
        <f t="shared" ref="O11:BU11" si="6">N12+1</f>
        <v>44593</v>
      </c>
      <c r="P11" s="89">
        <f t="shared" si="6"/>
        <v>44621</v>
      </c>
      <c r="Q11" s="89">
        <f t="shared" si="6"/>
        <v>44652</v>
      </c>
      <c r="R11" s="89">
        <f t="shared" si="6"/>
        <v>44682</v>
      </c>
      <c r="S11" s="89">
        <f t="shared" si="6"/>
        <v>44713</v>
      </c>
      <c r="T11" s="89">
        <f t="shared" si="6"/>
        <v>44743</v>
      </c>
      <c r="U11" s="89">
        <f t="shared" si="6"/>
        <v>44774</v>
      </c>
      <c r="V11" s="89">
        <f t="shared" si="6"/>
        <v>44805</v>
      </c>
      <c r="W11" s="89">
        <f t="shared" si="6"/>
        <v>44835</v>
      </c>
      <c r="X11" s="89">
        <f t="shared" si="6"/>
        <v>44866</v>
      </c>
      <c r="Y11" s="89">
        <f t="shared" si="6"/>
        <v>44896</v>
      </c>
      <c r="Z11" s="89">
        <f t="shared" si="6"/>
        <v>44927</v>
      </c>
      <c r="AA11" s="89">
        <f t="shared" si="6"/>
        <v>44958</v>
      </c>
      <c r="AB11" s="89">
        <f t="shared" si="6"/>
        <v>44986</v>
      </c>
      <c r="AC11" s="89">
        <f t="shared" si="6"/>
        <v>45017</v>
      </c>
      <c r="AD11" s="89">
        <f t="shared" si="6"/>
        <v>45047</v>
      </c>
      <c r="AE11" s="89">
        <f t="shared" si="6"/>
        <v>45078</v>
      </c>
      <c r="AF11" s="89">
        <f t="shared" si="6"/>
        <v>45108</v>
      </c>
      <c r="AG11" s="89">
        <f t="shared" si="6"/>
        <v>45139</v>
      </c>
      <c r="AH11" s="89">
        <f t="shared" si="6"/>
        <v>45170</v>
      </c>
      <c r="AI11" s="89">
        <f t="shared" si="6"/>
        <v>45200</v>
      </c>
      <c r="AJ11" s="89">
        <f t="shared" si="6"/>
        <v>45231</v>
      </c>
      <c r="AK11" s="89">
        <f t="shared" si="6"/>
        <v>45261</v>
      </c>
      <c r="AL11" s="89">
        <f t="shared" si="6"/>
        <v>45292</v>
      </c>
      <c r="AM11" s="89">
        <f t="shared" si="6"/>
        <v>45323</v>
      </c>
      <c r="AN11" s="89">
        <f t="shared" si="6"/>
        <v>45352</v>
      </c>
      <c r="AO11" s="89">
        <f t="shared" si="6"/>
        <v>45383</v>
      </c>
      <c r="AP11" s="89">
        <f t="shared" si="6"/>
        <v>45413</v>
      </c>
      <c r="AQ11" s="89">
        <f t="shared" si="6"/>
        <v>45444</v>
      </c>
      <c r="AR11" s="89">
        <f t="shared" si="6"/>
        <v>45474</v>
      </c>
      <c r="AS11" s="89">
        <f t="shared" si="6"/>
        <v>45505</v>
      </c>
      <c r="AT11" s="89">
        <f t="shared" si="6"/>
        <v>45536</v>
      </c>
      <c r="AU11" s="89">
        <f t="shared" si="6"/>
        <v>45566</v>
      </c>
      <c r="AV11" s="89">
        <f t="shared" si="6"/>
        <v>45597</v>
      </c>
      <c r="AW11" s="89">
        <f t="shared" si="6"/>
        <v>45627</v>
      </c>
      <c r="AX11" s="89">
        <f t="shared" si="6"/>
        <v>45658</v>
      </c>
      <c r="AY11" s="89">
        <f t="shared" si="6"/>
        <v>45689</v>
      </c>
      <c r="AZ11" s="89">
        <f t="shared" si="6"/>
        <v>45717</v>
      </c>
      <c r="BA11" s="89">
        <f t="shared" si="6"/>
        <v>45748</v>
      </c>
      <c r="BB11" s="89">
        <f t="shared" si="6"/>
        <v>45778</v>
      </c>
      <c r="BC11" s="89">
        <f t="shared" si="6"/>
        <v>45809</v>
      </c>
      <c r="BD11" s="89">
        <f t="shared" si="6"/>
        <v>45839</v>
      </c>
      <c r="BE11" s="89">
        <f t="shared" si="6"/>
        <v>45870</v>
      </c>
      <c r="BF11" s="89">
        <f t="shared" si="6"/>
        <v>45901</v>
      </c>
      <c r="BG11" s="89">
        <f t="shared" si="6"/>
        <v>45931</v>
      </c>
      <c r="BH11" s="89">
        <f t="shared" si="6"/>
        <v>45962</v>
      </c>
      <c r="BI11" s="89">
        <f t="shared" si="6"/>
        <v>45992</v>
      </c>
      <c r="BJ11" s="89">
        <f t="shared" si="6"/>
        <v>46023</v>
      </c>
      <c r="BK11" s="89">
        <f t="shared" si="6"/>
        <v>46054</v>
      </c>
      <c r="BL11" s="89">
        <f t="shared" si="6"/>
        <v>46082</v>
      </c>
      <c r="BM11" s="89">
        <f t="shared" si="6"/>
        <v>46113</v>
      </c>
      <c r="BN11" s="89">
        <f t="shared" si="6"/>
        <v>46143</v>
      </c>
      <c r="BO11" s="89">
        <f t="shared" si="6"/>
        <v>46174</v>
      </c>
      <c r="BP11" s="89">
        <f t="shared" si="6"/>
        <v>46204</v>
      </c>
      <c r="BQ11" s="89">
        <f t="shared" si="6"/>
        <v>46235</v>
      </c>
      <c r="BR11" s="89">
        <f t="shared" si="6"/>
        <v>46266</v>
      </c>
      <c r="BS11" s="89">
        <f t="shared" si="6"/>
        <v>46296</v>
      </c>
      <c r="BT11" s="89">
        <f t="shared" si="6"/>
        <v>46327</v>
      </c>
      <c r="BU11" s="89">
        <f t="shared" si="6"/>
        <v>46357</v>
      </c>
      <c r="BV11" s="90"/>
    </row>
    <row r="12" hidden="1" outlineLevel="1">
      <c r="A12" s="20"/>
      <c r="B12" s="20"/>
      <c r="C12" s="20"/>
      <c r="D12" s="20"/>
      <c r="E12" s="20"/>
      <c r="F12" s="20"/>
      <c r="G12" s="91" t="s">
        <v>23</v>
      </c>
      <c r="H12" s="92">
        <f t="shared" ref="H12:L12" si="7">EOMONTH(H11,11)</f>
        <v>44926</v>
      </c>
      <c r="I12" s="92">
        <f t="shared" si="7"/>
        <v>45291</v>
      </c>
      <c r="J12" s="92">
        <f t="shared" si="7"/>
        <v>45657</v>
      </c>
      <c r="K12" s="92">
        <f t="shared" si="7"/>
        <v>46022</v>
      </c>
      <c r="L12" s="92">
        <f t="shared" si="7"/>
        <v>46387</v>
      </c>
      <c r="M12" s="20"/>
      <c r="N12" s="92">
        <f t="shared" ref="N12:BU12" si="8">EOMONTH(N11,0)</f>
        <v>44592</v>
      </c>
      <c r="O12" s="92">
        <f t="shared" si="8"/>
        <v>44620</v>
      </c>
      <c r="P12" s="92">
        <f t="shared" si="8"/>
        <v>44651</v>
      </c>
      <c r="Q12" s="92">
        <f t="shared" si="8"/>
        <v>44681</v>
      </c>
      <c r="R12" s="92">
        <f t="shared" si="8"/>
        <v>44712</v>
      </c>
      <c r="S12" s="92">
        <f t="shared" si="8"/>
        <v>44742</v>
      </c>
      <c r="T12" s="92">
        <f t="shared" si="8"/>
        <v>44773</v>
      </c>
      <c r="U12" s="92">
        <f t="shared" si="8"/>
        <v>44804</v>
      </c>
      <c r="V12" s="92">
        <f t="shared" si="8"/>
        <v>44834</v>
      </c>
      <c r="W12" s="92">
        <f t="shared" si="8"/>
        <v>44865</v>
      </c>
      <c r="X12" s="92">
        <f t="shared" si="8"/>
        <v>44895</v>
      </c>
      <c r="Y12" s="92">
        <f t="shared" si="8"/>
        <v>44926</v>
      </c>
      <c r="Z12" s="92">
        <f t="shared" si="8"/>
        <v>44957</v>
      </c>
      <c r="AA12" s="92">
        <f t="shared" si="8"/>
        <v>44985</v>
      </c>
      <c r="AB12" s="92">
        <f t="shared" si="8"/>
        <v>45016</v>
      </c>
      <c r="AC12" s="92">
        <f t="shared" si="8"/>
        <v>45046</v>
      </c>
      <c r="AD12" s="92">
        <f t="shared" si="8"/>
        <v>45077</v>
      </c>
      <c r="AE12" s="92">
        <f t="shared" si="8"/>
        <v>45107</v>
      </c>
      <c r="AF12" s="92">
        <f t="shared" si="8"/>
        <v>45138</v>
      </c>
      <c r="AG12" s="92">
        <f t="shared" si="8"/>
        <v>45169</v>
      </c>
      <c r="AH12" s="92">
        <f t="shared" si="8"/>
        <v>45199</v>
      </c>
      <c r="AI12" s="92">
        <f t="shared" si="8"/>
        <v>45230</v>
      </c>
      <c r="AJ12" s="92">
        <f t="shared" si="8"/>
        <v>45260</v>
      </c>
      <c r="AK12" s="92">
        <f t="shared" si="8"/>
        <v>45291</v>
      </c>
      <c r="AL12" s="92">
        <f t="shared" si="8"/>
        <v>45322</v>
      </c>
      <c r="AM12" s="92">
        <f t="shared" si="8"/>
        <v>45351</v>
      </c>
      <c r="AN12" s="92">
        <f t="shared" si="8"/>
        <v>45382</v>
      </c>
      <c r="AO12" s="92">
        <f t="shared" si="8"/>
        <v>45412</v>
      </c>
      <c r="AP12" s="92">
        <f t="shared" si="8"/>
        <v>45443</v>
      </c>
      <c r="AQ12" s="92">
        <f t="shared" si="8"/>
        <v>45473</v>
      </c>
      <c r="AR12" s="92">
        <f t="shared" si="8"/>
        <v>45504</v>
      </c>
      <c r="AS12" s="92">
        <f t="shared" si="8"/>
        <v>45535</v>
      </c>
      <c r="AT12" s="92">
        <f t="shared" si="8"/>
        <v>45565</v>
      </c>
      <c r="AU12" s="92">
        <f t="shared" si="8"/>
        <v>45596</v>
      </c>
      <c r="AV12" s="92">
        <f t="shared" si="8"/>
        <v>45626</v>
      </c>
      <c r="AW12" s="92">
        <f t="shared" si="8"/>
        <v>45657</v>
      </c>
      <c r="AX12" s="92">
        <f t="shared" si="8"/>
        <v>45688</v>
      </c>
      <c r="AY12" s="92">
        <f t="shared" si="8"/>
        <v>45716</v>
      </c>
      <c r="AZ12" s="92">
        <f t="shared" si="8"/>
        <v>45747</v>
      </c>
      <c r="BA12" s="92">
        <f t="shared" si="8"/>
        <v>45777</v>
      </c>
      <c r="BB12" s="92">
        <f t="shared" si="8"/>
        <v>45808</v>
      </c>
      <c r="BC12" s="92">
        <f t="shared" si="8"/>
        <v>45838</v>
      </c>
      <c r="BD12" s="92">
        <f t="shared" si="8"/>
        <v>45869</v>
      </c>
      <c r="BE12" s="92">
        <f t="shared" si="8"/>
        <v>45900</v>
      </c>
      <c r="BF12" s="92">
        <f t="shared" si="8"/>
        <v>45930</v>
      </c>
      <c r="BG12" s="92">
        <f t="shared" si="8"/>
        <v>45961</v>
      </c>
      <c r="BH12" s="92">
        <f t="shared" si="8"/>
        <v>45991</v>
      </c>
      <c r="BI12" s="92">
        <f t="shared" si="8"/>
        <v>46022</v>
      </c>
      <c r="BJ12" s="92">
        <f t="shared" si="8"/>
        <v>46053</v>
      </c>
      <c r="BK12" s="92">
        <f t="shared" si="8"/>
        <v>46081</v>
      </c>
      <c r="BL12" s="92">
        <f t="shared" si="8"/>
        <v>46112</v>
      </c>
      <c r="BM12" s="92">
        <f t="shared" si="8"/>
        <v>46142</v>
      </c>
      <c r="BN12" s="92">
        <f t="shared" si="8"/>
        <v>46173</v>
      </c>
      <c r="BO12" s="92">
        <f t="shared" si="8"/>
        <v>46203</v>
      </c>
      <c r="BP12" s="92">
        <f t="shared" si="8"/>
        <v>46234</v>
      </c>
      <c r="BQ12" s="92">
        <f t="shared" si="8"/>
        <v>46265</v>
      </c>
      <c r="BR12" s="92">
        <f t="shared" si="8"/>
        <v>46295</v>
      </c>
      <c r="BS12" s="92">
        <f t="shared" si="8"/>
        <v>46326</v>
      </c>
      <c r="BT12" s="92">
        <f t="shared" si="8"/>
        <v>46356</v>
      </c>
      <c r="BU12" s="92">
        <f t="shared" si="8"/>
        <v>46387</v>
      </c>
      <c r="BV12" s="90"/>
    </row>
    <row r="13">
      <c r="A13" s="20"/>
      <c r="B13" s="20"/>
      <c r="C13" s="20"/>
      <c r="D13" s="20"/>
      <c r="E13" s="20"/>
      <c r="F13" s="20"/>
      <c r="G13" s="91" t="s">
        <v>25</v>
      </c>
      <c r="H13" s="93" t="str">
        <f t="shared" ref="H13:L13" si="9">IF(H12-H11&gt;35,"Annual","Monthly")</f>
        <v>Annual</v>
      </c>
      <c r="I13" s="93" t="str">
        <f t="shared" si="9"/>
        <v>Annual</v>
      </c>
      <c r="J13" s="93" t="str">
        <f t="shared" si="9"/>
        <v>Annual</v>
      </c>
      <c r="K13" s="93" t="str">
        <f t="shared" si="9"/>
        <v>Annual</v>
      </c>
      <c r="L13" s="93" t="str">
        <f t="shared" si="9"/>
        <v>Annual</v>
      </c>
      <c r="M13" s="90"/>
      <c r="N13" s="93" t="str">
        <f t="shared" ref="N13:BU13" si="10">IF(N12-N11&gt;35,"Annual","Monthly")</f>
        <v>Monthly</v>
      </c>
      <c r="O13" s="93" t="str">
        <f t="shared" si="10"/>
        <v>Monthly</v>
      </c>
      <c r="P13" s="93" t="str">
        <f t="shared" si="10"/>
        <v>Monthly</v>
      </c>
      <c r="Q13" s="93" t="str">
        <f t="shared" si="10"/>
        <v>Monthly</v>
      </c>
      <c r="R13" s="93" t="str">
        <f t="shared" si="10"/>
        <v>Monthly</v>
      </c>
      <c r="S13" s="93" t="str">
        <f t="shared" si="10"/>
        <v>Monthly</v>
      </c>
      <c r="T13" s="93" t="str">
        <f t="shared" si="10"/>
        <v>Monthly</v>
      </c>
      <c r="U13" s="93" t="str">
        <f t="shared" si="10"/>
        <v>Monthly</v>
      </c>
      <c r="V13" s="93" t="str">
        <f t="shared" si="10"/>
        <v>Monthly</v>
      </c>
      <c r="W13" s="93" t="str">
        <f t="shared" si="10"/>
        <v>Monthly</v>
      </c>
      <c r="X13" s="93" t="str">
        <f t="shared" si="10"/>
        <v>Monthly</v>
      </c>
      <c r="Y13" s="93" t="str">
        <f t="shared" si="10"/>
        <v>Monthly</v>
      </c>
      <c r="Z13" s="93" t="str">
        <f t="shared" si="10"/>
        <v>Monthly</v>
      </c>
      <c r="AA13" s="93" t="str">
        <f t="shared" si="10"/>
        <v>Monthly</v>
      </c>
      <c r="AB13" s="93" t="str">
        <f t="shared" si="10"/>
        <v>Monthly</v>
      </c>
      <c r="AC13" s="93" t="str">
        <f t="shared" si="10"/>
        <v>Monthly</v>
      </c>
      <c r="AD13" s="93" t="str">
        <f t="shared" si="10"/>
        <v>Monthly</v>
      </c>
      <c r="AE13" s="93" t="str">
        <f t="shared" si="10"/>
        <v>Monthly</v>
      </c>
      <c r="AF13" s="93" t="str">
        <f t="shared" si="10"/>
        <v>Monthly</v>
      </c>
      <c r="AG13" s="93" t="str">
        <f t="shared" si="10"/>
        <v>Monthly</v>
      </c>
      <c r="AH13" s="93" t="str">
        <f t="shared" si="10"/>
        <v>Monthly</v>
      </c>
      <c r="AI13" s="93" t="str">
        <f t="shared" si="10"/>
        <v>Monthly</v>
      </c>
      <c r="AJ13" s="93" t="str">
        <f t="shared" si="10"/>
        <v>Monthly</v>
      </c>
      <c r="AK13" s="93" t="str">
        <f t="shared" si="10"/>
        <v>Monthly</v>
      </c>
      <c r="AL13" s="93" t="str">
        <f t="shared" si="10"/>
        <v>Monthly</v>
      </c>
      <c r="AM13" s="93" t="str">
        <f t="shared" si="10"/>
        <v>Monthly</v>
      </c>
      <c r="AN13" s="93" t="str">
        <f t="shared" si="10"/>
        <v>Monthly</v>
      </c>
      <c r="AO13" s="93" t="str">
        <f t="shared" si="10"/>
        <v>Monthly</v>
      </c>
      <c r="AP13" s="93" t="str">
        <f t="shared" si="10"/>
        <v>Monthly</v>
      </c>
      <c r="AQ13" s="93" t="str">
        <f t="shared" si="10"/>
        <v>Monthly</v>
      </c>
      <c r="AR13" s="93" t="str">
        <f t="shared" si="10"/>
        <v>Monthly</v>
      </c>
      <c r="AS13" s="93" t="str">
        <f t="shared" si="10"/>
        <v>Monthly</v>
      </c>
      <c r="AT13" s="93" t="str">
        <f t="shared" si="10"/>
        <v>Monthly</v>
      </c>
      <c r="AU13" s="93" t="str">
        <f t="shared" si="10"/>
        <v>Monthly</v>
      </c>
      <c r="AV13" s="93" t="str">
        <f t="shared" si="10"/>
        <v>Monthly</v>
      </c>
      <c r="AW13" s="93" t="str">
        <f t="shared" si="10"/>
        <v>Monthly</v>
      </c>
      <c r="AX13" s="93" t="str">
        <f t="shared" si="10"/>
        <v>Monthly</v>
      </c>
      <c r="AY13" s="93" t="str">
        <f t="shared" si="10"/>
        <v>Monthly</v>
      </c>
      <c r="AZ13" s="93" t="str">
        <f t="shared" si="10"/>
        <v>Monthly</v>
      </c>
      <c r="BA13" s="93" t="str">
        <f t="shared" si="10"/>
        <v>Monthly</v>
      </c>
      <c r="BB13" s="93" t="str">
        <f t="shared" si="10"/>
        <v>Monthly</v>
      </c>
      <c r="BC13" s="93" t="str">
        <f t="shared" si="10"/>
        <v>Monthly</v>
      </c>
      <c r="BD13" s="93" t="str">
        <f t="shared" si="10"/>
        <v>Monthly</v>
      </c>
      <c r="BE13" s="93" t="str">
        <f t="shared" si="10"/>
        <v>Monthly</v>
      </c>
      <c r="BF13" s="93" t="str">
        <f t="shared" si="10"/>
        <v>Monthly</v>
      </c>
      <c r="BG13" s="93" t="str">
        <f t="shared" si="10"/>
        <v>Monthly</v>
      </c>
      <c r="BH13" s="93" t="str">
        <f t="shared" si="10"/>
        <v>Monthly</v>
      </c>
      <c r="BI13" s="93" t="str">
        <f t="shared" si="10"/>
        <v>Monthly</v>
      </c>
      <c r="BJ13" s="93" t="str">
        <f t="shared" si="10"/>
        <v>Monthly</v>
      </c>
      <c r="BK13" s="93" t="str">
        <f t="shared" si="10"/>
        <v>Monthly</v>
      </c>
      <c r="BL13" s="93" t="str">
        <f t="shared" si="10"/>
        <v>Monthly</v>
      </c>
      <c r="BM13" s="93" t="str">
        <f t="shared" si="10"/>
        <v>Monthly</v>
      </c>
      <c r="BN13" s="93" t="str">
        <f t="shared" si="10"/>
        <v>Monthly</v>
      </c>
      <c r="BO13" s="93" t="str">
        <f t="shared" si="10"/>
        <v>Monthly</v>
      </c>
      <c r="BP13" s="93" t="str">
        <f t="shared" si="10"/>
        <v>Monthly</v>
      </c>
      <c r="BQ13" s="93" t="str">
        <f t="shared" si="10"/>
        <v>Monthly</v>
      </c>
      <c r="BR13" s="93" t="str">
        <f t="shared" si="10"/>
        <v>Monthly</v>
      </c>
      <c r="BS13" s="93" t="str">
        <f t="shared" si="10"/>
        <v>Monthly</v>
      </c>
      <c r="BT13" s="93" t="str">
        <f t="shared" si="10"/>
        <v>Monthly</v>
      </c>
      <c r="BU13" s="93" t="str">
        <f t="shared" si="10"/>
        <v>Monthly</v>
      </c>
      <c r="BV13" s="90"/>
    </row>
    <row r="14">
      <c r="A14" s="20"/>
      <c r="B14" s="20"/>
      <c r="C14" s="20"/>
      <c r="D14" s="20"/>
      <c r="E14" s="20"/>
      <c r="F14" s="20"/>
      <c r="G14" s="91" t="s">
        <v>26</v>
      </c>
      <c r="H14" s="93">
        <f t="shared" ref="H14:L14" si="11">YEAR(H11)</f>
        <v>2022</v>
      </c>
      <c r="I14" s="93">
        <f t="shared" si="11"/>
        <v>2023</v>
      </c>
      <c r="J14" s="93">
        <f t="shared" si="11"/>
        <v>2024</v>
      </c>
      <c r="K14" s="93">
        <f t="shared" si="11"/>
        <v>2025</v>
      </c>
      <c r="L14" s="93">
        <f t="shared" si="11"/>
        <v>2026</v>
      </c>
      <c r="M14" s="20"/>
      <c r="N14" s="93">
        <f t="shared" ref="N14:BU14" si="12">YEAR(N11)</f>
        <v>2022</v>
      </c>
      <c r="O14" s="93">
        <f t="shared" si="12"/>
        <v>2022</v>
      </c>
      <c r="P14" s="93">
        <f t="shared" si="12"/>
        <v>2022</v>
      </c>
      <c r="Q14" s="93">
        <f t="shared" si="12"/>
        <v>2022</v>
      </c>
      <c r="R14" s="93">
        <f t="shared" si="12"/>
        <v>2022</v>
      </c>
      <c r="S14" s="93">
        <f t="shared" si="12"/>
        <v>2022</v>
      </c>
      <c r="T14" s="93">
        <f t="shared" si="12"/>
        <v>2022</v>
      </c>
      <c r="U14" s="93">
        <f t="shared" si="12"/>
        <v>2022</v>
      </c>
      <c r="V14" s="93">
        <f t="shared" si="12"/>
        <v>2022</v>
      </c>
      <c r="W14" s="93">
        <f t="shared" si="12"/>
        <v>2022</v>
      </c>
      <c r="X14" s="93">
        <f t="shared" si="12"/>
        <v>2022</v>
      </c>
      <c r="Y14" s="93">
        <f t="shared" si="12"/>
        <v>2022</v>
      </c>
      <c r="Z14" s="93">
        <f t="shared" si="12"/>
        <v>2023</v>
      </c>
      <c r="AA14" s="93">
        <f t="shared" si="12"/>
        <v>2023</v>
      </c>
      <c r="AB14" s="93">
        <f t="shared" si="12"/>
        <v>2023</v>
      </c>
      <c r="AC14" s="93">
        <f t="shared" si="12"/>
        <v>2023</v>
      </c>
      <c r="AD14" s="93">
        <f t="shared" si="12"/>
        <v>2023</v>
      </c>
      <c r="AE14" s="93">
        <f t="shared" si="12"/>
        <v>2023</v>
      </c>
      <c r="AF14" s="93">
        <f t="shared" si="12"/>
        <v>2023</v>
      </c>
      <c r="AG14" s="93">
        <f t="shared" si="12"/>
        <v>2023</v>
      </c>
      <c r="AH14" s="93">
        <f t="shared" si="12"/>
        <v>2023</v>
      </c>
      <c r="AI14" s="93">
        <f t="shared" si="12"/>
        <v>2023</v>
      </c>
      <c r="AJ14" s="93">
        <f t="shared" si="12"/>
        <v>2023</v>
      </c>
      <c r="AK14" s="93">
        <f t="shared" si="12"/>
        <v>2023</v>
      </c>
      <c r="AL14" s="93">
        <f t="shared" si="12"/>
        <v>2024</v>
      </c>
      <c r="AM14" s="93">
        <f t="shared" si="12"/>
        <v>2024</v>
      </c>
      <c r="AN14" s="93">
        <f t="shared" si="12"/>
        <v>2024</v>
      </c>
      <c r="AO14" s="93">
        <f t="shared" si="12"/>
        <v>2024</v>
      </c>
      <c r="AP14" s="93">
        <f t="shared" si="12"/>
        <v>2024</v>
      </c>
      <c r="AQ14" s="93">
        <f t="shared" si="12"/>
        <v>2024</v>
      </c>
      <c r="AR14" s="93">
        <f t="shared" si="12"/>
        <v>2024</v>
      </c>
      <c r="AS14" s="93">
        <f t="shared" si="12"/>
        <v>2024</v>
      </c>
      <c r="AT14" s="93">
        <f t="shared" si="12"/>
        <v>2024</v>
      </c>
      <c r="AU14" s="93">
        <f t="shared" si="12"/>
        <v>2024</v>
      </c>
      <c r="AV14" s="93">
        <f t="shared" si="12"/>
        <v>2024</v>
      </c>
      <c r="AW14" s="93">
        <f t="shared" si="12"/>
        <v>2024</v>
      </c>
      <c r="AX14" s="93">
        <f t="shared" si="12"/>
        <v>2025</v>
      </c>
      <c r="AY14" s="93">
        <f t="shared" si="12"/>
        <v>2025</v>
      </c>
      <c r="AZ14" s="93">
        <f t="shared" si="12"/>
        <v>2025</v>
      </c>
      <c r="BA14" s="93">
        <f t="shared" si="12"/>
        <v>2025</v>
      </c>
      <c r="BB14" s="93">
        <f t="shared" si="12"/>
        <v>2025</v>
      </c>
      <c r="BC14" s="93">
        <f t="shared" si="12"/>
        <v>2025</v>
      </c>
      <c r="BD14" s="93">
        <f t="shared" si="12"/>
        <v>2025</v>
      </c>
      <c r="BE14" s="93">
        <f t="shared" si="12"/>
        <v>2025</v>
      </c>
      <c r="BF14" s="93">
        <f t="shared" si="12"/>
        <v>2025</v>
      </c>
      <c r="BG14" s="93">
        <f t="shared" si="12"/>
        <v>2025</v>
      </c>
      <c r="BH14" s="93">
        <f t="shared" si="12"/>
        <v>2025</v>
      </c>
      <c r="BI14" s="93">
        <f t="shared" si="12"/>
        <v>2025</v>
      </c>
      <c r="BJ14" s="93">
        <f t="shared" si="12"/>
        <v>2026</v>
      </c>
      <c r="BK14" s="93">
        <f t="shared" si="12"/>
        <v>2026</v>
      </c>
      <c r="BL14" s="93">
        <f t="shared" si="12"/>
        <v>2026</v>
      </c>
      <c r="BM14" s="93">
        <f t="shared" si="12"/>
        <v>2026</v>
      </c>
      <c r="BN14" s="93">
        <f t="shared" si="12"/>
        <v>2026</v>
      </c>
      <c r="BO14" s="93">
        <f t="shared" si="12"/>
        <v>2026</v>
      </c>
      <c r="BP14" s="93">
        <f t="shared" si="12"/>
        <v>2026</v>
      </c>
      <c r="BQ14" s="93">
        <f t="shared" si="12"/>
        <v>2026</v>
      </c>
      <c r="BR14" s="93">
        <f t="shared" si="12"/>
        <v>2026</v>
      </c>
      <c r="BS14" s="93">
        <f t="shared" si="12"/>
        <v>2026</v>
      </c>
      <c r="BT14" s="93">
        <f t="shared" si="12"/>
        <v>2026</v>
      </c>
      <c r="BU14" s="93">
        <f t="shared" si="12"/>
        <v>2026</v>
      </c>
      <c r="BV14" s="90"/>
    </row>
    <row r="15" collapsed="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c r="BU15" s="20"/>
      <c r="BV15" s="20"/>
    </row>
    <row r="16" hidden="1" outlineLevel="1">
      <c r="A16" s="20"/>
      <c r="B16" s="20"/>
      <c r="C16" s="20"/>
      <c r="D16" s="20"/>
      <c r="E16" s="20"/>
      <c r="F16" s="20"/>
      <c r="G16" s="94" t="s">
        <v>27</v>
      </c>
      <c r="H16" s="95"/>
      <c r="I16" s="95"/>
      <c r="J16" s="95"/>
      <c r="K16" s="95"/>
      <c r="L16" s="95"/>
      <c r="M16" s="96"/>
      <c r="N16" s="95"/>
      <c r="O16" s="95"/>
      <c r="P16" s="95"/>
      <c r="Q16" s="95"/>
      <c r="R16" s="95"/>
      <c r="S16" s="95"/>
      <c r="T16" s="95"/>
      <c r="U16" s="95"/>
      <c r="V16" s="95"/>
      <c r="W16" s="95"/>
      <c r="X16" s="95"/>
      <c r="Y16" s="95"/>
      <c r="Z16" s="95"/>
      <c r="AA16" s="95"/>
      <c r="AB16" s="95"/>
      <c r="AC16" s="95"/>
      <c r="AD16" s="95"/>
      <c r="AE16" s="95"/>
      <c r="AF16" s="95"/>
      <c r="AG16" s="95"/>
      <c r="AH16" s="95"/>
      <c r="AI16" s="95"/>
      <c r="AJ16" s="95"/>
      <c r="AK16" s="95"/>
      <c r="AL16" s="95"/>
      <c r="AM16" s="95"/>
      <c r="AN16" s="95"/>
      <c r="AO16" s="95"/>
      <c r="AP16" s="95"/>
      <c r="AQ16" s="95"/>
      <c r="AR16" s="95"/>
      <c r="AS16" s="95"/>
      <c r="AT16" s="95"/>
      <c r="AU16" s="95"/>
      <c r="AV16" s="95"/>
      <c r="AW16" s="95"/>
      <c r="AX16" s="95"/>
      <c r="AY16" s="95"/>
      <c r="AZ16" s="95"/>
      <c r="BA16" s="95"/>
      <c r="BB16" s="95"/>
      <c r="BC16" s="95"/>
      <c r="BD16" s="95"/>
      <c r="BE16" s="95"/>
      <c r="BF16" s="95"/>
      <c r="BG16" s="95"/>
      <c r="BH16" s="95"/>
      <c r="BI16" s="95"/>
      <c r="BJ16" s="95"/>
      <c r="BK16" s="95"/>
      <c r="BL16" s="95"/>
      <c r="BM16" s="95"/>
      <c r="BN16" s="95"/>
      <c r="BO16" s="95"/>
      <c r="BP16" s="95"/>
      <c r="BQ16" s="95"/>
      <c r="BR16" s="95"/>
      <c r="BS16" s="95"/>
      <c r="BT16" s="95"/>
      <c r="BU16" s="95"/>
      <c r="BV16" s="20"/>
    </row>
    <row r="17" hidden="1" outlineLevel="1">
      <c r="A17" s="20"/>
      <c r="B17" s="20"/>
      <c r="C17" s="20"/>
      <c r="D17" s="20"/>
      <c r="E17" s="20"/>
      <c r="F17" s="20"/>
      <c r="G17" s="87" t="s">
        <v>28</v>
      </c>
      <c r="H17" s="97">
        <f>IF(AND(H11&gt;='Key Assumptions'!$D$13,H11&lt;'Key Assumptions'!$D$14),1,0)</f>
        <v>1</v>
      </c>
      <c r="I17" s="97">
        <f>IF(AND(I11&gt;='Key Assumptions'!$D$13,I11&lt;'Key Assumptions'!$D$14),1,0)</f>
        <v>1</v>
      </c>
      <c r="J17" s="97">
        <f>IF(AND(J11&gt;='Key Assumptions'!$D$13,J11&lt;'Key Assumptions'!$D$14),1,0)</f>
        <v>0</v>
      </c>
      <c r="K17" s="97">
        <f>IF(AND(K11&gt;='Key Assumptions'!$D$13,K11&lt;'Key Assumptions'!$D$14),1,0)</f>
        <v>0</v>
      </c>
      <c r="L17" s="97">
        <f>IF(AND(L11&gt;='Key Assumptions'!$D$13,L11&lt;'Key Assumptions'!$D$14),1,0)</f>
        <v>0</v>
      </c>
      <c r="M17" s="98"/>
      <c r="N17" s="97">
        <f>IF(AND(N11&gt;='Key Assumptions'!$D$13,N11&lt;'Key Assumptions'!$D$14),1,0)</f>
        <v>1</v>
      </c>
      <c r="O17" s="97">
        <f>IF(AND(O11&gt;='Key Assumptions'!$D$13,O11&lt;'Key Assumptions'!$D$14),1,0)</f>
        <v>1</v>
      </c>
      <c r="P17" s="97">
        <f>IF(AND(P11&gt;='Key Assumptions'!$D$13,P11&lt;'Key Assumptions'!$D$14),1,0)</f>
        <v>1</v>
      </c>
      <c r="Q17" s="97">
        <f>IF(AND(Q11&gt;='Key Assumptions'!$D$13,Q11&lt;'Key Assumptions'!$D$14),1,0)</f>
        <v>1</v>
      </c>
      <c r="R17" s="97">
        <f>IF(AND(R11&gt;='Key Assumptions'!$D$13,R11&lt;'Key Assumptions'!$D$14),1,0)</f>
        <v>1</v>
      </c>
      <c r="S17" s="97">
        <f>IF(AND(S11&gt;='Key Assumptions'!$D$13,S11&lt;'Key Assumptions'!$D$14),1,0)</f>
        <v>1</v>
      </c>
      <c r="T17" s="97">
        <f>IF(AND(T11&gt;='Key Assumptions'!$D$13,T11&lt;'Key Assumptions'!$D$14),1,0)</f>
        <v>1</v>
      </c>
      <c r="U17" s="97">
        <f>IF(AND(U11&gt;='Key Assumptions'!$D$13,U11&lt;'Key Assumptions'!$D$14),1,0)</f>
        <v>1</v>
      </c>
      <c r="V17" s="97">
        <f>IF(AND(V11&gt;='Key Assumptions'!$D$13,V11&lt;'Key Assumptions'!$D$14),1,0)</f>
        <v>1</v>
      </c>
      <c r="W17" s="97">
        <f>IF(AND(W11&gt;='Key Assumptions'!$D$13,W11&lt;'Key Assumptions'!$D$14),1,0)</f>
        <v>1</v>
      </c>
      <c r="X17" s="97">
        <f>IF(AND(X11&gt;='Key Assumptions'!$D$13,X11&lt;'Key Assumptions'!$D$14),1,0)</f>
        <v>1</v>
      </c>
      <c r="Y17" s="97">
        <f>IF(AND(Y11&gt;='Key Assumptions'!$D$13,Y11&lt;'Key Assumptions'!$D$14),1,0)</f>
        <v>1</v>
      </c>
      <c r="Z17" s="97">
        <f>IF(AND(Z11&gt;='Key Assumptions'!$D$13,Z11&lt;'Key Assumptions'!$D$14),1,0)</f>
        <v>1</v>
      </c>
      <c r="AA17" s="97">
        <f>IF(AND(AA11&gt;='Key Assumptions'!$D$13,AA11&lt;'Key Assumptions'!$D$14),1,0)</f>
        <v>1</v>
      </c>
      <c r="AB17" s="97">
        <f>IF(AND(AB11&gt;='Key Assumptions'!$D$13,AB11&lt;'Key Assumptions'!$D$14),1,0)</f>
        <v>1</v>
      </c>
      <c r="AC17" s="97">
        <f>IF(AND(AC11&gt;='Key Assumptions'!$D$13,AC11&lt;'Key Assumptions'!$D$14),1,0)</f>
        <v>1</v>
      </c>
      <c r="AD17" s="97">
        <f>IF(AND(AD11&gt;='Key Assumptions'!$D$13,AD11&lt;'Key Assumptions'!$D$14),1,0)</f>
        <v>1</v>
      </c>
      <c r="AE17" s="97">
        <f>IF(AND(AE11&gt;='Key Assumptions'!$D$13,AE11&lt;'Key Assumptions'!$D$14),1,0)</f>
        <v>1</v>
      </c>
      <c r="AF17" s="97">
        <f>IF(AND(AF11&gt;='Key Assumptions'!$D$13,AF11&lt;'Key Assumptions'!$D$14),1,0)</f>
        <v>0</v>
      </c>
      <c r="AG17" s="97">
        <f>IF(AND(AG11&gt;='Key Assumptions'!$D$13,AG11&lt;'Key Assumptions'!$D$14),1,0)</f>
        <v>0</v>
      </c>
      <c r="AH17" s="97">
        <f>IF(AND(AH11&gt;='Key Assumptions'!$D$13,AH11&lt;'Key Assumptions'!$D$14),1,0)</f>
        <v>0</v>
      </c>
      <c r="AI17" s="97">
        <f>IF(AND(AI11&gt;='Key Assumptions'!$D$13,AI11&lt;'Key Assumptions'!$D$14),1,0)</f>
        <v>0</v>
      </c>
      <c r="AJ17" s="97">
        <f>IF(AND(AJ11&gt;='Key Assumptions'!$D$13,AJ11&lt;'Key Assumptions'!$D$14),1,0)</f>
        <v>0</v>
      </c>
      <c r="AK17" s="97">
        <f>IF(AND(AK11&gt;='Key Assumptions'!$D$13,AK11&lt;'Key Assumptions'!$D$14),1,0)</f>
        <v>0</v>
      </c>
      <c r="AL17" s="97">
        <f>IF(AND(AL11&gt;='Key Assumptions'!$D$13,AL11&lt;'Key Assumptions'!$D$14),1,0)</f>
        <v>0</v>
      </c>
      <c r="AM17" s="97">
        <f>IF(AND(AM11&gt;='Key Assumptions'!$D$13,AM11&lt;'Key Assumptions'!$D$14),1,0)</f>
        <v>0</v>
      </c>
      <c r="AN17" s="97">
        <f>IF(AND(AN11&gt;='Key Assumptions'!$D$13,AN11&lt;'Key Assumptions'!$D$14),1,0)</f>
        <v>0</v>
      </c>
      <c r="AO17" s="97">
        <f>IF(AND(AO11&gt;='Key Assumptions'!$D$13,AO11&lt;'Key Assumptions'!$D$14),1,0)</f>
        <v>0</v>
      </c>
      <c r="AP17" s="97">
        <f>IF(AND(AP11&gt;='Key Assumptions'!$D$13,AP11&lt;'Key Assumptions'!$D$14),1,0)</f>
        <v>0</v>
      </c>
      <c r="AQ17" s="97">
        <f>IF(AND(AQ11&gt;='Key Assumptions'!$D$13,AQ11&lt;'Key Assumptions'!$D$14),1,0)</f>
        <v>0</v>
      </c>
      <c r="AR17" s="97">
        <f>IF(AND(AR11&gt;='Key Assumptions'!$D$13,AR11&lt;'Key Assumptions'!$D$14),1,0)</f>
        <v>0</v>
      </c>
      <c r="AS17" s="97">
        <f>IF(AND(AS11&gt;='Key Assumptions'!$D$13,AS11&lt;'Key Assumptions'!$D$14),1,0)</f>
        <v>0</v>
      </c>
      <c r="AT17" s="97">
        <f>IF(AND(AT11&gt;='Key Assumptions'!$D$13,AT11&lt;'Key Assumptions'!$D$14),1,0)</f>
        <v>0</v>
      </c>
      <c r="AU17" s="97">
        <f>IF(AND(AU11&gt;='Key Assumptions'!$D$13,AU11&lt;'Key Assumptions'!$D$14),1,0)</f>
        <v>0</v>
      </c>
      <c r="AV17" s="97">
        <f>IF(AND(AV11&gt;='Key Assumptions'!$D$13,AV11&lt;'Key Assumptions'!$D$14),1,0)</f>
        <v>0</v>
      </c>
      <c r="AW17" s="97">
        <f>IF(AND(AW11&gt;='Key Assumptions'!$D$13,AW11&lt;'Key Assumptions'!$D$14),1,0)</f>
        <v>0</v>
      </c>
      <c r="AX17" s="97">
        <f>IF(AND(AX11&gt;='Key Assumptions'!$D$13,AX11&lt;'Key Assumptions'!$D$14),1,0)</f>
        <v>0</v>
      </c>
      <c r="AY17" s="97">
        <f>IF(AND(AY11&gt;='Key Assumptions'!$D$13,AY11&lt;'Key Assumptions'!$D$14),1,0)</f>
        <v>0</v>
      </c>
      <c r="AZ17" s="97">
        <f>IF(AND(AZ11&gt;='Key Assumptions'!$D$13,AZ11&lt;'Key Assumptions'!$D$14),1,0)</f>
        <v>0</v>
      </c>
      <c r="BA17" s="97">
        <f>IF(AND(BA11&gt;='Key Assumptions'!$D$13,BA11&lt;'Key Assumptions'!$D$14),1,0)</f>
        <v>0</v>
      </c>
      <c r="BB17" s="97">
        <f>IF(AND(BB11&gt;='Key Assumptions'!$D$13,BB11&lt;'Key Assumptions'!$D$14),1,0)</f>
        <v>0</v>
      </c>
      <c r="BC17" s="97">
        <f>IF(AND(BC11&gt;='Key Assumptions'!$D$13,BC11&lt;'Key Assumptions'!$D$14),1,0)</f>
        <v>0</v>
      </c>
      <c r="BD17" s="97">
        <f>IF(AND(BD11&gt;='Key Assumptions'!$D$13,BD11&lt;'Key Assumptions'!$D$14),1,0)</f>
        <v>0</v>
      </c>
      <c r="BE17" s="97">
        <f>IF(AND(BE11&gt;='Key Assumptions'!$D$13,BE11&lt;'Key Assumptions'!$D$14),1,0)</f>
        <v>0</v>
      </c>
      <c r="BF17" s="97">
        <f>IF(AND(BF11&gt;='Key Assumptions'!$D$13,BF11&lt;'Key Assumptions'!$D$14),1,0)</f>
        <v>0</v>
      </c>
      <c r="BG17" s="97">
        <f>IF(AND(BG11&gt;='Key Assumptions'!$D$13,BG11&lt;'Key Assumptions'!$D$14),1,0)</f>
        <v>0</v>
      </c>
      <c r="BH17" s="97">
        <f>IF(AND(BH11&gt;='Key Assumptions'!$D$13,BH11&lt;'Key Assumptions'!$D$14),1,0)</f>
        <v>0</v>
      </c>
      <c r="BI17" s="97">
        <f>IF(AND(BI11&gt;='Key Assumptions'!$D$13,BI11&lt;'Key Assumptions'!$D$14),1,0)</f>
        <v>0</v>
      </c>
      <c r="BJ17" s="97">
        <f>IF(AND(BJ11&gt;='Key Assumptions'!$D$13,BJ11&lt;'Key Assumptions'!$D$14),1,0)</f>
        <v>0</v>
      </c>
      <c r="BK17" s="97">
        <f>IF(AND(BK11&gt;='Key Assumptions'!$D$13,BK11&lt;'Key Assumptions'!$D$14),1,0)</f>
        <v>0</v>
      </c>
      <c r="BL17" s="97">
        <f>IF(AND(BL11&gt;='Key Assumptions'!$D$13,BL11&lt;'Key Assumptions'!$D$14),1,0)</f>
        <v>0</v>
      </c>
      <c r="BM17" s="97">
        <f>IF(AND(BM11&gt;='Key Assumptions'!$D$13,BM11&lt;'Key Assumptions'!$D$14),1,0)</f>
        <v>0</v>
      </c>
      <c r="BN17" s="97">
        <f>IF(AND(BN11&gt;='Key Assumptions'!$D$13,BN11&lt;'Key Assumptions'!$D$14),1,0)</f>
        <v>0</v>
      </c>
      <c r="BO17" s="97">
        <f>IF(AND(BO11&gt;='Key Assumptions'!$D$13,BO11&lt;'Key Assumptions'!$D$14),1,0)</f>
        <v>0</v>
      </c>
      <c r="BP17" s="97">
        <f>IF(AND(BP11&gt;='Key Assumptions'!$D$13,BP11&lt;'Key Assumptions'!$D$14),1,0)</f>
        <v>0</v>
      </c>
      <c r="BQ17" s="97">
        <f>IF(AND(BQ11&gt;='Key Assumptions'!$D$13,BQ11&lt;'Key Assumptions'!$D$14),1,0)</f>
        <v>0</v>
      </c>
      <c r="BR17" s="97">
        <f>IF(AND(BR11&gt;='Key Assumptions'!$D$13,BR11&lt;'Key Assumptions'!$D$14),1,0)</f>
        <v>0</v>
      </c>
      <c r="BS17" s="97">
        <f>IF(AND(BS11&gt;='Key Assumptions'!$D$13,BS11&lt;'Key Assumptions'!$D$14),1,0)</f>
        <v>0</v>
      </c>
      <c r="BT17" s="97">
        <f>IF(AND(BT11&gt;='Key Assumptions'!$D$13,BT11&lt;'Key Assumptions'!$D$14),1,0)</f>
        <v>0</v>
      </c>
      <c r="BU17" s="97">
        <f>IF(AND(BU11&gt;='Key Assumptions'!$D$13,BU11&lt;'Key Assumptions'!$D$14),1,0)</f>
        <v>0</v>
      </c>
      <c r="BV17" s="99"/>
    </row>
    <row r="18" hidden="1" outlineLevel="1">
      <c r="A18" s="20"/>
      <c r="B18" s="20"/>
      <c r="C18" s="20"/>
      <c r="D18" s="20"/>
      <c r="E18" s="20"/>
      <c r="F18" s="20"/>
      <c r="G18" s="91" t="s">
        <v>29</v>
      </c>
      <c r="H18" s="100">
        <f>IF(AND(H11&gt;='Key Assumptions'!$D$15,H11&lt;'Key Assumptions'!$D$16),1,0)</f>
        <v>0</v>
      </c>
      <c r="I18" s="100">
        <f>IF(AND(I11&gt;='Key Assumptions'!$D$15,I11&lt;'Key Assumptions'!$D$16),1,0)</f>
        <v>0</v>
      </c>
      <c r="J18" s="100">
        <f>IF(AND(J11&gt;='Key Assumptions'!$D$15,J11&lt;'Key Assumptions'!$D$16),1,0)</f>
        <v>1</v>
      </c>
      <c r="K18" s="100">
        <f>IF(AND(K11&gt;='Key Assumptions'!$D$15,K11&lt;'Key Assumptions'!$D$16),1,0)</f>
        <v>1</v>
      </c>
      <c r="L18" s="100">
        <f>IF(AND(L11&gt;='Key Assumptions'!$D$15,L11&lt;'Key Assumptions'!$D$16),1,0)</f>
        <v>1</v>
      </c>
      <c r="M18" s="101"/>
      <c r="N18" s="100">
        <f>IF(AND(N11&gt;='Key Assumptions'!$D$15,N11&lt;'Key Assumptions'!$D$16),1,0)</f>
        <v>0</v>
      </c>
      <c r="O18" s="100">
        <f>IF(AND(O11&gt;='Key Assumptions'!$D$15,O11&lt;'Key Assumptions'!$D$16),1,0)</f>
        <v>0</v>
      </c>
      <c r="P18" s="100">
        <f>IF(AND(P11&gt;='Key Assumptions'!$D$15,P11&lt;'Key Assumptions'!$D$16),1,0)</f>
        <v>0</v>
      </c>
      <c r="Q18" s="100">
        <f>IF(AND(Q11&gt;='Key Assumptions'!$D$15,Q11&lt;'Key Assumptions'!$D$16),1,0)</f>
        <v>0</v>
      </c>
      <c r="R18" s="100">
        <f>IF(AND(R11&gt;='Key Assumptions'!$D$15,R11&lt;'Key Assumptions'!$D$16),1,0)</f>
        <v>0</v>
      </c>
      <c r="S18" s="100">
        <f>IF(AND(S11&gt;='Key Assumptions'!$D$15,S11&lt;'Key Assumptions'!$D$16),1,0)</f>
        <v>0</v>
      </c>
      <c r="T18" s="100">
        <f>IF(AND(T11&gt;='Key Assumptions'!$D$15,T11&lt;'Key Assumptions'!$D$16),1,0)</f>
        <v>0</v>
      </c>
      <c r="U18" s="100">
        <f>IF(AND(U11&gt;='Key Assumptions'!$D$15,U11&lt;'Key Assumptions'!$D$16),1,0)</f>
        <v>0</v>
      </c>
      <c r="V18" s="100">
        <f>IF(AND(V11&gt;='Key Assumptions'!$D$15,V11&lt;'Key Assumptions'!$D$16),1,0)</f>
        <v>0</v>
      </c>
      <c r="W18" s="100">
        <f>IF(AND(W11&gt;='Key Assumptions'!$D$15,W11&lt;'Key Assumptions'!$D$16),1,0)</f>
        <v>0</v>
      </c>
      <c r="X18" s="100">
        <f>IF(AND(X11&gt;='Key Assumptions'!$D$15,X11&lt;'Key Assumptions'!$D$16),1,0)</f>
        <v>0</v>
      </c>
      <c r="Y18" s="100">
        <f>IF(AND(Y11&gt;='Key Assumptions'!$D$15,Y11&lt;'Key Assumptions'!$D$16),1,0)</f>
        <v>0</v>
      </c>
      <c r="Z18" s="100">
        <f>IF(AND(Z11&gt;='Key Assumptions'!$D$15,Z11&lt;'Key Assumptions'!$D$16),1,0)</f>
        <v>0</v>
      </c>
      <c r="AA18" s="100">
        <f>IF(AND(AA11&gt;='Key Assumptions'!$D$15,AA11&lt;'Key Assumptions'!$D$16),1,0)</f>
        <v>0</v>
      </c>
      <c r="AB18" s="100">
        <f>IF(AND(AB11&gt;='Key Assumptions'!$D$15,AB11&lt;'Key Assumptions'!$D$16),1,0)</f>
        <v>0</v>
      </c>
      <c r="AC18" s="100">
        <f>IF(AND(AC11&gt;='Key Assumptions'!$D$15,AC11&lt;'Key Assumptions'!$D$16),1,0)</f>
        <v>0</v>
      </c>
      <c r="AD18" s="100">
        <f>IF(AND(AD11&gt;='Key Assumptions'!$D$15,AD11&lt;'Key Assumptions'!$D$16),1,0)</f>
        <v>0</v>
      </c>
      <c r="AE18" s="100">
        <f>IF(AND(AE11&gt;='Key Assumptions'!$D$15,AE11&lt;'Key Assumptions'!$D$16),1,0)</f>
        <v>0</v>
      </c>
      <c r="AF18" s="100">
        <f>IF(AND(AF11&gt;='Key Assumptions'!$D$15,AF11&lt;'Key Assumptions'!$D$16),1,0)</f>
        <v>1</v>
      </c>
      <c r="AG18" s="100">
        <f>IF(AND(AG11&gt;='Key Assumptions'!$D$15,AG11&lt;'Key Assumptions'!$D$16),1,0)</f>
        <v>1</v>
      </c>
      <c r="AH18" s="100">
        <f>IF(AND(AH11&gt;='Key Assumptions'!$D$15,AH11&lt;'Key Assumptions'!$D$16),1,0)</f>
        <v>1</v>
      </c>
      <c r="AI18" s="100">
        <f>IF(AND(AI11&gt;='Key Assumptions'!$D$15,AI11&lt;'Key Assumptions'!$D$16),1,0)</f>
        <v>1</v>
      </c>
      <c r="AJ18" s="100">
        <f>IF(AND(AJ11&gt;='Key Assumptions'!$D$15,AJ11&lt;'Key Assumptions'!$D$16),1,0)</f>
        <v>1</v>
      </c>
      <c r="AK18" s="100">
        <f>IF(AND(AK11&gt;='Key Assumptions'!$D$15,AK11&lt;'Key Assumptions'!$D$16),1,0)</f>
        <v>1</v>
      </c>
      <c r="AL18" s="100">
        <f>IF(AND(AL11&gt;='Key Assumptions'!$D$15,AL11&lt;'Key Assumptions'!$D$16),1,0)</f>
        <v>1</v>
      </c>
      <c r="AM18" s="100">
        <f>IF(AND(AM11&gt;='Key Assumptions'!$D$15,AM11&lt;'Key Assumptions'!$D$16),1,0)</f>
        <v>1</v>
      </c>
      <c r="AN18" s="100">
        <f>IF(AND(AN11&gt;='Key Assumptions'!$D$15,AN11&lt;'Key Assumptions'!$D$16),1,0)</f>
        <v>1</v>
      </c>
      <c r="AO18" s="100">
        <f>IF(AND(AO11&gt;='Key Assumptions'!$D$15,AO11&lt;'Key Assumptions'!$D$16),1,0)</f>
        <v>1</v>
      </c>
      <c r="AP18" s="100">
        <f>IF(AND(AP11&gt;='Key Assumptions'!$D$15,AP11&lt;'Key Assumptions'!$D$16),1,0)</f>
        <v>1</v>
      </c>
      <c r="AQ18" s="100">
        <f>IF(AND(AQ11&gt;='Key Assumptions'!$D$15,AQ11&lt;'Key Assumptions'!$D$16),1,0)</f>
        <v>1</v>
      </c>
      <c r="AR18" s="100">
        <f>IF(AND(AR11&gt;='Key Assumptions'!$D$15,AR11&lt;'Key Assumptions'!$D$16),1,0)</f>
        <v>1</v>
      </c>
      <c r="AS18" s="100">
        <f>IF(AND(AS11&gt;='Key Assumptions'!$D$15,AS11&lt;'Key Assumptions'!$D$16),1,0)</f>
        <v>1</v>
      </c>
      <c r="AT18" s="100">
        <f>IF(AND(AT11&gt;='Key Assumptions'!$D$15,AT11&lt;'Key Assumptions'!$D$16),1,0)</f>
        <v>1</v>
      </c>
      <c r="AU18" s="100">
        <f>IF(AND(AU11&gt;='Key Assumptions'!$D$15,AU11&lt;'Key Assumptions'!$D$16),1,0)</f>
        <v>1</v>
      </c>
      <c r="AV18" s="100">
        <f>IF(AND(AV11&gt;='Key Assumptions'!$D$15,AV11&lt;'Key Assumptions'!$D$16),1,0)</f>
        <v>1</v>
      </c>
      <c r="AW18" s="100">
        <f>IF(AND(AW11&gt;='Key Assumptions'!$D$15,AW11&lt;'Key Assumptions'!$D$16),1,0)</f>
        <v>1</v>
      </c>
      <c r="AX18" s="100">
        <f>IF(AND(AX11&gt;='Key Assumptions'!$D$15,AX11&lt;'Key Assumptions'!$D$16),1,0)</f>
        <v>1</v>
      </c>
      <c r="AY18" s="100">
        <f>IF(AND(AY11&gt;='Key Assumptions'!$D$15,AY11&lt;'Key Assumptions'!$D$16),1,0)</f>
        <v>1</v>
      </c>
      <c r="AZ18" s="100">
        <f>IF(AND(AZ11&gt;='Key Assumptions'!$D$15,AZ11&lt;'Key Assumptions'!$D$16),1,0)</f>
        <v>1</v>
      </c>
      <c r="BA18" s="100">
        <f>IF(AND(BA11&gt;='Key Assumptions'!$D$15,BA11&lt;'Key Assumptions'!$D$16),1,0)</f>
        <v>1</v>
      </c>
      <c r="BB18" s="100">
        <f>IF(AND(BB11&gt;='Key Assumptions'!$D$15,BB11&lt;'Key Assumptions'!$D$16),1,0)</f>
        <v>1</v>
      </c>
      <c r="BC18" s="100">
        <f>IF(AND(BC11&gt;='Key Assumptions'!$D$15,BC11&lt;'Key Assumptions'!$D$16),1,0)</f>
        <v>1</v>
      </c>
      <c r="BD18" s="100">
        <f>IF(AND(BD11&gt;='Key Assumptions'!$D$15,BD11&lt;'Key Assumptions'!$D$16),1,0)</f>
        <v>1</v>
      </c>
      <c r="BE18" s="100">
        <f>IF(AND(BE11&gt;='Key Assumptions'!$D$15,BE11&lt;'Key Assumptions'!$D$16),1,0)</f>
        <v>1</v>
      </c>
      <c r="BF18" s="100">
        <f>IF(AND(BF11&gt;='Key Assumptions'!$D$15,BF11&lt;'Key Assumptions'!$D$16),1,0)</f>
        <v>1</v>
      </c>
      <c r="BG18" s="100">
        <f>IF(AND(BG11&gt;='Key Assumptions'!$D$15,BG11&lt;'Key Assumptions'!$D$16),1,0)</f>
        <v>1</v>
      </c>
      <c r="BH18" s="100">
        <f>IF(AND(BH11&gt;='Key Assumptions'!$D$15,BH11&lt;'Key Assumptions'!$D$16),1,0)</f>
        <v>1</v>
      </c>
      <c r="BI18" s="100">
        <f>IF(AND(BI11&gt;='Key Assumptions'!$D$15,BI11&lt;'Key Assumptions'!$D$16),1,0)</f>
        <v>1</v>
      </c>
      <c r="BJ18" s="100">
        <f>IF(AND(BJ11&gt;='Key Assumptions'!$D$15,BJ11&lt;'Key Assumptions'!$D$16),1,0)</f>
        <v>1</v>
      </c>
      <c r="BK18" s="100">
        <f>IF(AND(BK11&gt;='Key Assumptions'!$D$15,BK11&lt;'Key Assumptions'!$D$16),1,0)</f>
        <v>1</v>
      </c>
      <c r="BL18" s="100">
        <f>IF(AND(BL11&gt;='Key Assumptions'!$D$15,BL11&lt;'Key Assumptions'!$D$16),1,0)</f>
        <v>1</v>
      </c>
      <c r="BM18" s="100">
        <f>IF(AND(BM11&gt;='Key Assumptions'!$D$15,BM11&lt;'Key Assumptions'!$D$16),1,0)</f>
        <v>1</v>
      </c>
      <c r="BN18" s="100">
        <f>IF(AND(BN11&gt;='Key Assumptions'!$D$15,BN11&lt;'Key Assumptions'!$D$16),1,0)</f>
        <v>1</v>
      </c>
      <c r="BO18" s="100">
        <f>IF(AND(BO11&gt;='Key Assumptions'!$D$15,BO11&lt;'Key Assumptions'!$D$16),1,0)</f>
        <v>1</v>
      </c>
      <c r="BP18" s="100">
        <f>IF(AND(BP11&gt;='Key Assumptions'!$D$15,BP11&lt;'Key Assumptions'!$D$16),1,0)</f>
        <v>1</v>
      </c>
      <c r="BQ18" s="100">
        <f>IF(AND(BQ11&gt;='Key Assumptions'!$D$15,BQ11&lt;'Key Assumptions'!$D$16),1,0)</f>
        <v>1</v>
      </c>
      <c r="BR18" s="100">
        <f>IF(AND(BR11&gt;='Key Assumptions'!$D$15,BR11&lt;'Key Assumptions'!$D$16),1,0)</f>
        <v>1</v>
      </c>
      <c r="BS18" s="100">
        <f>IF(AND(BS11&gt;='Key Assumptions'!$D$15,BS11&lt;'Key Assumptions'!$D$16),1,0)</f>
        <v>1</v>
      </c>
      <c r="BT18" s="100">
        <f>IF(AND(BT11&gt;='Key Assumptions'!$D$15,BT11&lt;'Key Assumptions'!$D$16),1,0)</f>
        <v>1</v>
      </c>
      <c r="BU18" s="100">
        <f>IF(AND(BU11&gt;='Key Assumptions'!$D$15,BU11&lt;'Key Assumptions'!$D$16),1,0)</f>
        <v>1</v>
      </c>
      <c r="BV18" s="99"/>
    </row>
    <row r="19" hidden="1" outlineLevel="1">
      <c r="A19" s="20"/>
      <c r="B19" s="20"/>
      <c r="C19" s="20"/>
      <c r="D19" s="20"/>
      <c r="E19" s="20"/>
      <c r="F19" s="20"/>
      <c r="G19" s="91" t="s">
        <v>30</v>
      </c>
      <c r="H19" s="100">
        <f t="shared" ref="H19:L19" si="13">COUNTA($H$11:H11)</f>
        <v>1</v>
      </c>
      <c r="I19" s="100">
        <f t="shared" si="13"/>
        <v>2</v>
      </c>
      <c r="J19" s="100">
        <f t="shared" si="13"/>
        <v>3</v>
      </c>
      <c r="K19" s="100">
        <f t="shared" si="13"/>
        <v>4</v>
      </c>
      <c r="L19" s="100">
        <f t="shared" si="13"/>
        <v>5</v>
      </c>
      <c r="M19" s="101"/>
      <c r="N19" s="100">
        <f t="shared" ref="N19:BU19" si="14">INDEX($H$19:$L$19,MATCH(YEAR(N$11),$H$14:$L$14,0))</f>
        <v>1</v>
      </c>
      <c r="O19" s="100">
        <f t="shared" si="14"/>
        <v>1</v>
      </c>
      <c r="P19" s="100">
        <f t="shared" si="14"/>
        <v>1</v>
      </c>
      <c r="Q19" s="100">
        <f t="shared" si="14"/>
        <v>1</v>
      </c>
      <c r="R19" s="100">
        <f t="shared" si="14"/>
        <v>1</v>
      </c>
      <c r="S19" s="100">
        <f t="shared" si="14"/>
        <v>1</v>
      </c>
      <c r="T19" s="100">
        <f t="shared" si="14"/>
        <v>1</v>
      </c>
      <c r="U19" s="100">
        <f t="shared" si="14"/>
        <v>1</v>
      </c>
      <c r="V19" s="100">
        <f t="shared" si="14"/>
        <v>1</v>
      </c>
      <c r="W19" s="100">
        <f t="shared" si="14"/>
        <v>1</v>
      </c>
      <c r="X19" s="100">
        <f t="shared" si="14"/>
        <v>1</v>
      </c>
      <c r="Y19" s="100">
        <f t="shared" si="14"/>
        <v>1</v>
      </c>
      <c r="Z19" s="100">
        <f t="shared" si="14"/>
        <v>2</v>
      </c>
      <c r="AA19" s="100">
        <f t="shared" si="14"/>
        <v>2</v>
      </c>
      <c r="AB19" s="100">
        <f t="shared" si="14"/>
        <v>2</v>
      </c>
      <c r="AC19" s="100">
        <f t="shared" si="14"/>
        <v>2</v>
      </c>
      <c r="AD19" s="100">
        <f t="shared" si="14"/>
        <v>2</v>
      </c>
      <c r="AE19" s="100">
        <f t="shared" si="14"/>
        <v>2</v>
      </c>
      <c r="AF19" s="100">
        <f t="shared" si="14"/>
        <v>2</v>
      </c>
      <c r="AG19" s="100">
        <f t="shared" si="14"/>
        <v>2</v>
      </c>
      <c r="AH19" s="100">
        <f t="shared" si="14"/>
        <v>2</v>
      </c>
      <c r="AI19" s="100">
        <f t="shared" si="14"/>
        <v>2</v>
      </c>
      <c r="AJ19" s="100">
        <f t="shared" si="14"/>
        <v>2</v>
      </c>
      <c r="AK19" s="100">
        <f t="shared" si="14"/>
        <v>2</v>
      </c>
      <c r="AL19" s="100">
        <f t="shared" si="14"/>
        <v>3</v>
      </c>
      <c r="AM19" s="100">
        <f t="shared" si="14"/>
        <v>3</v>
      </c>
      <c r="AN19" s="100">
        <f t="shared" si="14"/>
        <v>3</v>
      </c>
      <c r="AO19" s="100">
        <f t="shared" si="14"/>
        <v>3</v>
      </c>
      <c r="AP19" s="100">
        <f t="shared" si="14"/>
        <v>3</v>
      </c>
      <c r="AQ19" s="100">
        <f t="shared" si="14"/>
        <v>3</v>
      </c>
      <c r="AR19" s="100">
        <f t="shared" si="14"/>
        <v>3</v>
      </c>
      <c r="AS19" s="100">
        <f t="shared" si="14"/>
        <v>3</v>
      </c>
      <c r="AT19" s="100">
        <f t="shared" si="14"/>
        <v>3</v>
      </c>
      <c r="AU19" s="100">
        <f t="shared" si="14"/>
        <v>3</v>
      </c>
      <c r="AV19" s="100">
        <f t="shared" si="14"/>
        <v>3</v>
      </c>
      <c r="AW19" s="100">
        <f t="shared" si="14"/>
        <v>3</v>
      </c>
      <c r="AX19" s="100">
        <f t="shared" si="14"/>
        <v>4</v>
      </c>
      <c r="AY19" s="100">
        <f t="shared" si="14"/>
        <v>4</v>
      </c>
      <c r="AZ19" s="100">
        <f t="shared" si="14"/>
        <v>4</v>
      </c>
      <c r="BA19" s="100">
        <f t="shared" si="14"/>
        <v>4</v>
      </c>
      <c r="BB19" s="100">
        <f t="shared" si="14"/>
        <v>4</v>
      </c>
      <c r="BC19" s="100">
        <f t="shared" si="14"/>
        <v>4</v>
      </c>
      <c r="BD19" s="100">
        <f t="shared" si="14"/>
        <v>4</v>
      </c>
      <c r="BE19" s="100">
        <f t="shared" si="14"/>
        <v>4</v>
      </c>
      <c r="BF19" s="100">
        <f t="shared" si="14"/>
        <v>4</v>
      </c>
      <c r="BG19" s="100">
        <f t="shared" si="14"/>
        <v>4</v>
      </c>
      <c r="BH19" s="100">
        <f t="shared" si="14"/>
        <v>4</v>
      </c>
      <c r="BI19" s="100">
        <f t="shared" si="14"/>
        <v>4</v>
      </c>
      <c r="BJ19" s="100">
        <f t="shared" si="14"/>
        <v>5</v>
      </c>
      <c r="BK19" s="100">
        <f t="shared" si="14"/>
        <v>5</v>
      </c>
      <c r="BL19" s="100">
        <f t="shared" si="14"/>
        <v>5</v>
      </c>
      <c r="BM19" s="100">
        <f t="shared" si="14"/>
        <v>5</v>
      </c>
      <c r="BN19" s="100">
        <f t="shared" si="14"/>
        <v>5</v>
      </c>
      <c r="BO19" s="100">
        <f t="shared" si="14"/>
        <v>5</v>
      </c>
      <c r="BP19" s="100">
        <f t="shared" si="14"/>
        <v>5</v>
      </c>
      <c r="BQ19" s="100">
        <f t="shared" si="14"/>
        <v>5</v>
      </c>
      <c r="BR19" s="100">
        <f t="shared" si="14"/>
        <v>5</v>
      </c>
      <c r="BS19" s="100">
        <f t="shared" si="14"/>
        <v>5</v>
      </c>
      <c r="BT19" s="100">
        <f t="shared" si="14"/>
        <v>5</v>
      </c>
      <c r="BU19" s="100">
        <f t="shared" si="14"/>
        <v>5</v>
      </c>
      <c r="BV19" s="99"/>
    </row>
    <row r="20">
      <c r="A20" s="20"/>
      <c r="B20" s="20"/>
      <c r="C20" s="81"/>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AK20" s="20"/>
      <c r="AL20" s="20"/>
      <c r="AM20" s="20"/>
      <c r="AN20" s="20"/>
      <c r="AO20" s="20"/>
      <c r="AP20" s="20"/>
      <c r="AQ20" s="20"/>
      <c r="AR20" s="20"/>
      <c r="AS20" s="20"/>
      <c r="AT20" s="20"/>
      <c r="AU20" s="20"/>
      <c r="AV20" s="20"/>
      <c r="AW20" s="20"/>
      <c r="AX20" s="20"/>
      <c r="AY20" s="20"/>
      <c r="AZ20" s="20"/>
      <c r="BA20" s="20"/>
      <c r="BB20" s="20"/>
      <c r="BC20" s="20"/>
      <c r="BD20" s="20"/>
      <c r="BE20" s="20"/>
      <c r="BF20" s="20"/>
      <c r="BG20" s="20"/>
      <c r="BH20" s="20"/>
      <c r="BI20" s="20"/>
      <c r="BJ20" s="20"/>
      <c r="BK20" s="20"/>
      <c r="BL20" s="20"/>
      <c r="BM20" s="20"/>
      <c r="BN20" s="20"/>
      <c r="BO20" s="20"/>
      <c r="BP20" s="20"/>
      <c r="BQ20" s="20"/>
      <c r="BR20" s="20"/>
      <c r="BS20" s="20"/>
      <c r="BT20" s="20"/>
      <c r="BU20" s="20"/>
      <c r="BV20" s="99"/>
    </row>
    <row r="21">
      <c r="A21" s="20"/>
      <c r="B21" s="20"/>
      <c r="C21" s="102" t="s">
        <v>46</v>
      </c>
      <c r="D21" s="103"/>
      <c r="E21" s="103"/>
      <c r="F21" s="103"/>
      <c r="G21" s="102"/>
      <c r="H21" s="103"/>
      <c r="I21" s="103"/>
      <c r="J21" s="103"/>
      <c r="K21" s="103"/>
      <c r="L21" s="103"/>
      <c r="M21" s="20"/>
      <c r="N21" s="103"/>
      <c r="O21" s="103"/>
      <c r="P21" s="103"/>
      <c r="Q21" s="103"/>
      <c r="R21" s="103"/>
      <c r="S21" s="103"/>
      <c r="T21" s="103"/>
      <c r="U21" s="103"/>
      <c r="V21" s="103"/>
      <c r="W21" s="103"/>
      <c r="X21" s="103"/>
      <c r="Y21" s="103"/>
      <c r="Z21" s="103"/>
      <c r="AA21" s="103"/>
      <c r="AB21" s="103"/>
      <c r="AC21" s="103"/>
      <c r="AD21" s="103"/>
      <c r="AE21" s="103"/>
      <c r="AF21" s="103"/>
      <c r="AG21" s="103"/>
      <c r="AH21" s="103"/>
      <c r="AI21" s="103"/>
      <c r="AJ21" s="103"/>
      <c r="AK21" s="103"/>
      <c r="AL21" s="103"/>
      <c r="AM21" s="103"/>
      <c r="AN21" s="103"/>
      <c r="AO21" s="103"/>
      <c r="AP21" s="103"/>
      <c r="AQ21" s="103"/>
      <c r="AR21" s="103"/>
      <c r="AS21" s="103"/>
      <c r="AT21" s="103"/>
      <c r="AU21" s="103"/>
      <c r="AV21" s="103"/>
      <c r="AW21" s="103"/>
      <c r="AX21" s="103"/>
      <c r="AY21" s="103"/>
      <c r="AZ21" s="103"/>
      <c r="BA21" s="103"/>
      <c r="BB21" s="103"/>
      <c r="BC21" s="103"/>
      <c r="BD21" s="103"/>
      <c r="BE21" s="103"/>
      <c r="BF21" s="103"/>
      <c r="BG21" s="103"/>
      <c r="BH21" s="103"/>
      <c r="BI21" s="103"/>
      <c r="BJ21" s="103"/>
      <c r="BK21" s="103"/>
      <c r="BL21" s="103"/>
      <c r="BM21" s="103"/>
      <c r="BN21" s="103"/>
      <c r="BO21" s="103"/>
      <c r="BP21" s="103"/>
      <c r="BQ21" s="103"/>
      <c r="BR21" s="103"/>
      <c r="BS21" s="103"/>
      <c r="BT21" s="103"/>
      <c r="BU21" s="103"/>
      <c r="BV21" s="99"/>
    </row>
    <row r="22">
      <c r="A22" s="20"/>
      <c r="B22" s="20"/>
      <c r="C22" s="104" t="s">
        <v>47</v>
      </c>
      <c r="D22" s="105"/>
      <c r="E22" s="105"/>
      <c r="F22" s="105"/>
      <c r="G22" s="106" t="s">
        <v>48</v>
      </c>
      <c r="H22" s="107">
        <f t="shared" ref="H22:L22" si="15">INDEX($N22:$BU22,MATCH(H$11,$N$11:$BU$11,0))</f>
        <v>11935000</v>
      </c>
      <c r="I22" s="107">
        <f t="shared" si="15"/>
        <v>17099065.44</v>
      </c>
      <c r="J22" s="107" t="str">
        <f t="shared" si="15"/>
        <v/>
      </c>
      <c r="K22" s="107" t="str">
        <f t="shared" si="15"/>
        <v/>
      </c>
      <c r="L22" s="107" t="str">
        <f t="shared" si="15"/>
        <v/>
      </c>
      <c r="M22" s="99"/>
      <c r="N22" s="108">
        <v>1.1935E7</v>
      </c>
      <c r="O22" s="108">
        <f t="shared" ref="O22:AE22" si="16">N26</f>
        <v>12248800.11</v>
      </c>
      <c r="P22" s="108">
        <f t="shared" si="16"/>
        <v>12691379.64</v>
      </c>
      <c r="Q22" s="108">
        <f t="shared" si="16"/>
        <v>13205435.84</v>
      </c>
      <c r="R22" s="108">
        <f t="shared" si="16"/>
        <v>13595598.47</v>
      </c>
      <c r="S22" s="108">
        <f t="shared" si="16"/>
        <v>13929303.76</v>
      </c>
      <c r="T22" s="108">
        <f t="shared" si="16"/>
        <v>14504142.69</v>
      </c>
      <c r="U22" s="108">
        <f t="shared" si="16"/>
        <v>15198474.22</v>
      </c>
      <c r="V22" s="108">
        <f t="shared" si="16"/>
        <v>15699592.68</v>
      </c>
      <c r="W22" s="108">
        <f t="shared" si="16"/>
        <v>15997979.3</v>
      </c>
      <c r="X22" s="108">
        <f t="shared" si="16"/>
        <v>16562098.9</v>
      </c>
      <c r="Y22" s="108">
        <f t="shared" si="16"/>
        <v>16803589.19</v>
      </c>
      <c r="Z22" s="108">
        <f t="shared" si="16"/>
        <v>17099065.44</v>
      </c>
      <c r="AA22" s="108">
        <f t="shared" si="16"/>
        <v>17611609.42</v>
      </c>
      <c r="AB22" s="108">
        <f t="shared" si="16"/>
        <v>18207764.2</v>
      </c>
      <c r="AC22" s="108">
        <f t="shared" si="16"/>
        <v>18453020.46</v>
      </c>
      <c r="AD22" s="108">
        <f t="shared" si="16"/>
        <v>18844334.86</v>
      </c>
      <c r="AE22" s="108">
        <f t="shared" si="16"/>
        <v>19266077.98</v>
      </c>
      <c r="AF22" s="109"/>
      <c r="AG22" s="109"/>
      <c r="AH22" s="109"/>
      <c r="AI22" s="109"/>
      <c r="AJ22" s="109"/>
      <c r="AK22" s="109"/>
      <c r="AL22" s="109"/>
      <c r="AM22" s="109"/>
      <c r="AN22" s="109"/>
      <c r="AO22" s="109"/>
      <c r="AP22" s="109"/>
      <c r="AQ22" s="109"/>
      <c r="AR22" s="109"/>
      <c r="AS22" s="109"/>
      <c r="AT22" s="109"/>
      <c r="AU22" s="109"/>
      <c r="AV22" s="109"/>
      <c r="AW22" s="109"/>
      <c r="AX22" s="109"/>
      <c r="AY22" s="109"/>
      <c r="AZ22" s="109"/>
      <c r="BA22" s="109"/>
      <c r="BB22" s="109"/>
      <c r="BC22" s="109"/>
      <c r="BD22" s="109"/>
      <c r="BE22" s="109"/>
      <c r="BF22" s="109"/>
      <c r="BG22" s="109"/>
      <c r="BH22" s="109"/>
      <c r="BI22" s="109"/>
      <c r="BJ22" s="109"/>
      <c r="BK22" s="109"/>
      <c r="BL22" s="109"/>
      <c r="BM22" s="109"/>
      <c r="BN22" s="109"/>
      <c r="BO22" s="109"/>
      <c r="BP22" s="109"/>
      <c r="BQ22" s="109"/>
      <c r="BR22" s="109"/>
      <c r="BS22" s="109"/>
      <c r="BT22" s="109"/>
      <c r="BU22" s="109"/>
      <c r="BV22" s="99"/>
    </row>
    <row r="23">
      <c r="A23" s="20"/>
      <c r="B23" s="20"/>
      <c r="C23" s="110" t="s">
        <v>49</v>
      </c>
      <c r="D23" s="111"/>
      <c r="E23" s="111"/>
      <c r="F23" s="111"/>
      <c r="G23" s="106" t="s">
        <v>48</v>
      </c>
      <c r="H23" s="112">
        <f t="shared" ref="H23:L23" si="17">SUMIFS($N23:$BU23,$N$19:$BU$19,H$19)</f>
        <v>5288050</v>
      </c>
      <c r="I23" s="112">
        <f t="shared" si="17"/>
        <v>2643755</v>
      </c>
      <c r="J23" s="112">
        <f t="shared" si="17"/>
        <v>0</v>
      </c>
      <c r="K23" s="112">
        <f t="shared" si="17"/>
        <v>0</v>
      </c>
      <c r="L23" s="112">
        <f t="shared" si="17"/>
        <v>0</v>
      </c>
      <c r="M23" s="99"/>
      <c r="N23" s="108">
        <v>405790.0</v>
      </c>
      <c r="O23" s="108">
        <v>394080.0</v>
      </c>
      <c r="P23" s="108">
        <v>529966.0</v>
      </c>
      <c r="Q23" s="108">
        <v>454746.0</v>
      </c>
      <c r="R23" s="108">
        <v>339150.0</v>
      </c>
      <c r="S23" s="108">
        <v>530374.0</v>
      </c>
      <c r="T23" s="108">
        <v>572670.0</v>
      </c>
      <c r="U23" s="108">
        <v>507144.0</v>
      </c>
      <c r="V23" s="108">
        <v>347123.0</v>
      </c>
      <c r="W23" s="108">
        <v>566750.0</v>
      </c>
      <c r="X23" s="108">
        <v>343152.0</v>
      </c>
      <c r="Y23" s="108">
        <v>297105.0</v>
      </c>
      <c r="Z23" s="108">
        <v>430342.0</v>
      </c>
      <c r="AA23" s="108">
        <v>508904.0</v>
      </c>
      <c r="AB23" s="108">
        <v>310725.0</v>
      </c>
      <c r="AC23" s="108">
        <v>458920.0</v>
      </c>
      <c r="AD23" s="108">
        <v>500760.0</v>
      </c>
      <c r="AE23" s="108">
        <v>434104.0</v>
      </c>
      <c r="AF23" s="109"/>
      <c r="AG23" s="109"/>
      <c r="AH23" s="109"/>
      <c r="AI23" s="109"/>
      <c r="AJ23" s="109"/>
      <c r="AK23" s="109"/>
      <c r="AL23" s="109"/>
      <c r="AM23" s="109"/>
      <c r="AN23" s="109"/>
      <c r="AO23" s="109"/>
      <c r="AP23" s="109"/>
      <c r="AQ23" s="109"/>
      <c r="AR23" s="109"/>
      <c r="AS23" s="109"/>
      <c r="AT23" s="109"/>
      <c r="AU23" s="109"/>
      <c r="AV23" s="109"/>
      <c r="AW23" s="109"/>
      <c r="AX23" s="109"/>
      <c r="AY23" s="109"/>
      <c r="AZ23" s="109"/>
      <c r="BA23" s="109"/>
      <c r="BB23" s="109"/>
      <c r="BC23" s="109"/>
      <c r="BD23" s="109"/>
      <c r="BE23" s="109"/>
      <c r="BF23" s="109"/>
      <c r="BG23" s="109"/>
      <c r="BH23" s="109"/>
      <c r="BI23" s="109"/>
      <c r="BJ23" s="109"/>
      <c r="BK23" s="109"/>
      <c r="BL23" s="109"/>
      <c r="BM23" s="109"/>
      <c r="BN23" s="109"/>
      <c r="BO23" s="109"/>
      <c r="BP23" s="109"/>
      <c r="BQ23" s="109"/>
      <c r="BR23" s="109"/>
      <c r="BS23" s="109"/>
      <c r="BT23" s="109"/>
      <c r="BU23" s="109"/>
      <c r="BV23" s="99"/>
    </row>
    <row r="24">
      <c r="A24" s="20"/>
      <c r="B24" s="20"/>
      <c r="C24" s="110" t="s">
        <v>50</v>
      </c>
      <c r="D24" s="111"/>
      <c r="E24" s="111"/>
      <c r="F24" s="111"/>
      <c r="G24" s="106" t="s">
        <v>48</v>
      </c>
      <c r="H24" s="112">
        <f t="shared" ref="H24:L24" si="18">SUMIFS($N24:$BU24,$N$19:$BU$19,H$19)</f>
        <v>2329537.445</v>
      </c>
      <c r="I24" s="112">
        <f t="shared" si="18"/>
        <v>1164649.78</v>
      </c>
      <c r="J24" s="112">
        <f t="shared" si="18"/>
        <v>0</v>
      </c>
      <c r="K24" s="112">
        <f t="shared" si="18"/>
        <v>0</v>
      </c>
      <c r="L24" s="112">
        <f t="shared" si="18"/>
        <v>0</v>
      </c>
      <c r="M24" s="99"/>
      <c r="N24" s="108">
        <v>178762.11453744493</v>
      </c>
      <c r="O24" s="108">
        <v>173603.5242290749</v>
      </c>
      <c r="P24" s="108">
        <v>233465.19823788546</v>
      </c>
      <c r="Q24" s="108">
        <v>200328.63436123347</v>
      </c>
      <c r="R24" s="108">
        <v>149405.28634361233</v>
      </c>
      <c r="S24" s="108">
        <v>233644.93392070485</v>
      </c>
      <c r="T24" s="108">
        <v>252277.53303964756</v>
      </c>
      <c r="U24" s="108">
        <v>223411.4537444934</v>
      </c>
      <c r="V24" s="108">
        <v>152917.62114537446</v>
      </c>
      <c r="W24" s="108">
        <v>249669.60352422908</v>
      </c>
      <c r="X24" s="108">
        <v>151168.281938326</v>
      </c>
      <c r="Y24" s="108">
        <v>130883.25991189427</v>
      </c>
      <c r="Z24" s="108">
        <v>189577.97356828194</v>
      </c>
      <c r="AA24" s="108">
        <v>224186.78414096916</v>
      </c>
      <c r="AB24" s="108">
        <v>136883.25991189427</v>
      </c>
      <c r="AC24" s="108">
        <v>202167.40088105726</v>
      </c>
      <c r="AD24" s="108">
        <v>220599.11894273126</v>
      </c>
      <c r="AE24" s="108">
        <v>191235.2422907489</v>
      </c>
      <c r="AF24" s="109"/>
      <c r="AG24" s="109"/>
      <c r="AH24" s="109"/>
      <c r="AI24" s="109"/>
      <c r="AJ24" s="109"/>
      <c r="AK24" s="109"/>
      <c r="AL24" s="109"/>
      <c r="AM24" s="109"/>
      <c r="AN24" s="109"/>
      <c r="AO24" s="109"/>
      <c r="AP24" s="109"/>
      <c r="AQ24" s="109"/>
      <c r="AR24" s="109"/>
      <c r="AS24" s="109"/>
      <c r="AT24" s="109"/>
      <c r="AU24" s="109"/>
      <c r="AV24" s="109"/>
      <c r="AW24" s="109"/>
      <c r="AX24" s="109"/>
      <c r="AY24" s="109"/>
      <c r="AZ24" s="109"/>
      <c r="BA24" s="109"/>
      <c r="BB24" s="109"/>
      <c r="BC24" s="109"/>
      <c r="BD24" s="109"/>
      <c r="BE24" s="109"/>
      <c r="BF24" s="109"/>
      <c r="BG24" s="109"/>
      <c r="BH24" s="109"/>
      <c r="BI24" s="109"/>
      <c r="BJ24" s="109"/>
      <c r="BK24" s="109"/>
      <c r="BL24" s="109"/>
      <c r="BM24" s="109"/>
      <c r="BN24" s="109"/>
      <c r="BO24" s="109"/>
      <c r="BP24" s="109"/>
      <c r="BQ24" s="109"/>
      <c r="BR24" s="109"/>
      <c r="BS24" s="109"/>
      <c r="BT24" s="109"/>
      <c r="BU24" s="109"/>
      <c r="BV24" s="99"/>
    </row>
    <row r="25">
      <c r="A25" s="20"/>
      <c r="B25" s="20"/>
      <c r="C25" s="113" t="s">
        <v>51</v>
      </c>
      <c r="D25" s="114"/>
      <c r="E25" s="114"/>
      <c r="F25" s="114"/>
      <c r="G25" s="115" t="s">
        <v>48</v>
      </c>
      <c r="H25" s="116">
        <f t="shared" ref="H25:L25" si="19">SUMIFS($N25:$BU25,$N$19:$BU$19,H$19)</f>
        <v>-2453522</v>
      </c>
      <c r="I25" s="116">
        <f t="shared" si="19"/>
        <v>-1314525</v>
      </c>
      <c r="J25" s="116">
        <f t="shared" si="19"/>
        <v>0</v>
      </c>
      <c r="K25" s="116">
        <f t="shared" si="19"/>
        <v>0</v>
      </c>
      <c r="L25" s="116">
        <f t="shared" si="19"/>
        <v>0</v>
      </c>
      <c r="M25" s="99"/>
      <c r="N25" s="117">
        <v>-270752.0</v>
      </c>
      <c r="O25" s="108">
        <v>-125104.0</v>
      </c>
      <c r="P25" s="108">
        <v>-249375.0</v>
      </c>
      <c r="Q25" s="108">
        <v>-264912.0</v>
      </c>
      <c r="R25" s="108">
        <v>-154850.0</v>
      </c>
      <c r="S25" s="108">
        <v>-189180.0</v>
      </c>
      <c r="T25" s="108">
        <v>-130616.0</v>
      </c>
      <c r="U25" s="108">
        <v>-229437.0</v>
      </c>
      <c r="V25" s="117">
        <v>-201654.0</v>
      </c>
      <c r="W25" s="117">
        <v>-252300.0</v>
      </c>
      <c r="X25" s="117">
        <v>-252830.0</v>
      </c>
      <c r="Y25" s="108">
        <v>-132512.0</v>
      </c>
      <c r="Z25" s="108">
        <v>-107376.0</v>
      </c>
      <c r="AA25" s="108">
        <v>-136936.0</v>
      </c>
      <c r="AB25" s="117">
        <v>-202352.0</v>
      </c>
      <c r="AC25" s="108">
        <v>-269773.0</v>
      </c>
      <c r="AD25" s="108">
        <v>-299616.0</v>
      </c>
      <c r="AE25" s="117">
        <v>-298472.0</v>
      </c>
      <c r="AF25" s="109"/>
      <c r="AG25" s="109"/>
      <c r="AH25" s="109"/>
      <c r="AI25" s="109"/>
      <c r="AJ25" s="109"/>
      <c r="AK25" s="109"/>
      <c r="AL25" s="109"/>
      <c r="AM25" s="109"/>
      <c r="AN25" s="109"/>
      <c r="AO25" s="109"/>
      <c r="AP25" s="109"/>
      <c r="AQ25" s="109"/>
      <c r="AR25" s="109"/>
      <c r="AS25" s="109"/>
      <c r="AT25" s="109"/>
      <c r="AU25" s="109"/>
      <c r="AV25" s="109"/>
      <c r="AW25" s="109"/>
      <c r="AX25" s="109"/>
      <c r="AY25" s="109"/>
      <c r="AZ25" s="109"/>
      <c r="BA25" s="109"/>
      <c r="BB25" s="109"/>
      <c r="BC25" s="109"/>
      <c r="BD25" s="109"/>
      <c r="BE25" s="109"/>
      <c r="BF25" s="109"/>
      <c r="BG25" s="109"/>
      <c r="BH25" s="109"/>
      <c r="BI25" s="109"/>
      <c r="BJ25" s="109"/>
      <c r="BK25" s="109"/>
      <c r="BL25" s="109"/>
      <c r="BM25" s="109"/>
      <c r="BN25" s="109"/>
      <c r="BO25" s="109"/>
      <c r="BP25" s="109"/>
      <c r="BQ25" s="109"/>
      <c r="BR25" s="109"/>
      <c r="BS25" s="109"/>
      <c r="BT25" s="109"/>
      <c r="BU25" s="109"/>
      <c r="BV25" s="99"/>
    </row>
    <row r="26">
      <c r="A26" s="20"/>
      <c r="B26" s="20"/>
      <c r="C26" s="118" t="s">
        <v>52</v>
      </c>
      <c r="D26" s="119"/>
      <c r="E26" s="119"/>
      <c r="F26" s="119"/>
      <c r="G26" s="120" t="s">
        <v>48</v>
      </c>
      <c r="H26" s="121">
        <f t="shared" ref="H26:L26" si="20">INDEX($N26:$BU26,MATCH(H$12,N$12:$BU$12,0))</f>
        <v>17099065.44</v>
      </c>
      <c r="I26" s="121" t="str">
        <f t="shared" si="20"/>
        <v/>
      </c>
      <c r="J26" s="121" t="str">
        <f t="shared" si="20"/>
        <v/>
      </c>
      <c r="K26" s="121" t="str">
        <f t="shared" si="20"/>
        <v/>
      </c>
      <c r="L26" s="121" t="str">
        <f t="shared" si="20"/>
        <v/>
      </c>
      <c r="M26" s="99"/>
      <c r="N26" s="122">
        <f t="shared" ref="N26:AE26" si="21">SUM(N22:N25)</f>
        <v>12248800.11</v>
      </c>
      <c r="O26" s="122">
        <f t="shared" si="21"/>
        <v>12691379.64</v>
      </c>
      <c r="P26" s="122">
        <f t="shared" si="21"/>
        <v>13205435.84</v>
      </c>
      <c r="Q26" s="122">
        <f t="shared" si="21"/>
        <v>13595598.47</v>
      </c>
      <c r="R26" s="122">
        <f t="shared" si="21"/>
        <v>13929303.76</v>
      </c>
      <c r="S26" s="122">
        <f t="shared" si="21"/>
        <v>14504142.69</v>
      </c>
      <c r="T26" s="122">
        <f t="shared" si="21"/>
        <v>15198474.22</v>
      </c>
      <c r="U26" s="122">
        <f t="shared" si="21"/>
        <v>15699592.68</v>
      </c>
      <c r="V26" s="122">
        <f t="shared" si="21"/>
        <v>15997979.3</v>
      </c>
      <c r="W26" s="122">
        <f t="shared" si="21"/>
        <v>16562098.9</v>
      </c>
      <c r="X26" s="122">
        <f t="shared" si="21"/>
        <v>16803589.19</v>
      </c>
      <c r="Y26" s="122">
        <f t="shared" si="21"/>
        <v>17099065.44</v>
      </c>
      <c r="Z26" s="122">
        <f t="shared" si="21"/>
        <v>17611609.42</v>
      </c>
      <c r="AA26" s="122">
        <f t="shared" si="21"/>
        <v>18207764.2</v>
      </c>
      <c r="AB26" s="122">
        <f t="shared" si="21"/>
        <v>18453020.46</v>
      </c>
      <c r="AC26" s="122">
        <f t="shared" si="21"/>
        <v>18844334.86</v>
      </c>
      <c r="AD26" s="122">
        <f t="shared" si="21"/>
        <v>19266077.98</v>
      </c>
      <c r="AE26" s="122">
        <f t="shared" si="21"/>
        <v>19592945.22</v>
      </c>
      <c r="AF26" s="109"/>
      <c r="AG26" s="109"/>
      <c r="AH26" s="109"/>
      <c r="AI26" s="109"/>
      <c r="AJ26" s="109"/>
      <c r="AK26" s="109"/>
      <c r="AL26" s="109"/>
      <c r="AM26" s="109"/>
      <c r="AN26" s="109"/>
      <c r="AO26" s="109"/>
      <c r="AP26" s="109"/>
      <c r="AQ26" s="109"/>
      <c r="AR26" s="109"/>
      <c r="AS26" s="109"/>
      <c r="AT26" s="109"/>
      <c r="AU26" s="109"/>
      <c r="AV26" s="109"/>
      <c r="AW26" s="109"/>
      <c r="AX26" s="109"/>
      <c r="AY26" s="109"/>
      <c r="AZ26" s="109"/>
      <c r="BA26" s="109"/>
      <c r="BB26" s="109"/>
      <c r="BC26" s="109"/>
      <c r="BD26" s="109"/>
      <c r="BE26" s="109"/>
      <c r="BF26" s="109"/>
      <c r="BG26" s="109"/>
      <c r="BH26" s="109"/>
      <c r="BI26" s="109"/>
      <c r="BJ26" s="109"/>
      <c r="BK26" s="109"/>
      <c r="BL26" s="109"/>
      <c r="BM26" s="109"/>
      <c r="BN26" s="109"/>
      <c r="BO26" s="109"/>
      <c r="BP26" s="109"/>
      <c r="BQ26" s="109"/>
      <c r="BR26" s="109"/>
      <c r="BS26" s="109"/>
      <c r="BT26" s="109"/>
      <c r="BU26" s="109"/>
      <c r="BV26" s="99"/>
    </row>
    <row r="27">
      <c r="A27" s="20"/>
      <c r="B27" s="20"/>
      <c r="C27" s="109"/>
      <c r="D27" s="109"/>
      <c r="E27" s="109"/>
      <c r="F27" s="109"/>
      <c r="G27" s="109"/>
      <c r="H27" s="109"/>
      <c r="I27" s="109"/>
      <c r="J27" s="109"/>
      <c r="K27" s="109"/>
      <c r="L27" s="109"/>
      <c r="M27" s="20"/>
      <c r="N27" s="109"/>
      <c r="O27" s="109"/>
      <c r="P27" s="109"/>
      <c r="Q27" s="109"/>
      <c r="R27" s="109"/>
      <c r="S27" s="109"/>
      <c r="T27" s="109"/>
      <c r="U27" s="109"/>
      <c r="V27" s="109"/>
      <c r="W27" s="109"/>
      <c r="X27" s="109"/>
      <c r="Y27" s="109"/>
      <c r="Z27" s="109"/>
      <c r="AA27" s="109"/>
      <c r="AB27" s="109"/>
      <c r="AC27" s="109"/>
      <c r="AD27" s="109"/>
      <c r="AE27" s="109"/>
      <c r="AF27" s="109"/>
      <c r="AG27" s="109"/>
      <c r="AH27" s="109"/>
      <c r="AI27" s="109"/>
      <c r="AJ27" s="109"/>
      <c r="AK27" s="109"/>
      <c r="AL27" s="109"/>
      <c r="AM27" s="109"/>
      <c r="AN27" s="109"/>
      <c r="AO27" s="109"/>
      <c r="AP27" s="109"/>
      <c r="AQ27" s="109"/>
      <c r="AR27" s="109"/>
      <c r="AS27" s="109"/>
      <c r="AT27" s="109"/>
      <c r="AU27" s="109"/>
      <c r="AV27" s="109"/>
      <c r="AW27" s="109"/>
      <c r="AX27" s="109"/>
      <c r="AY27" s="109"/>
      <c r="AZ27" s="109"/>
      <c r="BA27" s="109"/>
      <c r="BB27" s="109"/>
      <c r="BC27" s="109"/>
      <c r="BD27" s="109"/>
      <c r="BE27" s="109"/>
      <c r="BF27" s="109"/>
      <c r="BG27" s="109"/>
      <c r="BH27" s="109"/>
      <c r="BI27" s="109"/>
      <c r="BJ27" s="109"/>
      <c r="BK27" s="109"/>
      <c r="BL27" s="109"/>
      <c r="BM27" s="109"/>
      <c r="BN27" s="109"/>
      <c r="BO27" s="109"/>
      <c r="BP27" s="109"/>
      <c r="BQ27" s="109"/>
      <c r="BR27" s="109"/>
      <c r="BS27" s="109"/>
      <c r="BT27" s="109"/>
      <c r="BU27" s="109"/>
      <c r="BV27" s="99"/>
    </row>
    <row r="28">
      <c r="A28" s="20"/>
      <c r="B28" s="20"/>
      <c r="C28" s="102" t="s">
        <v>53</v>
      </c>
      <c r="D28" s="103"/>
      <c r="E28" s="103"/>
      <c r="F28" s="103"/>
      <c r="G28" s="103"/>
      <c r="H28" s="103"/>
      <c r="I28" s="103"/>
      <c r="J28" s="103"/>
      <c r="K28" s="103"/>
      <c r="L28" s="103"/>
      <c r="M28" s="20"/>
      <c r="N28" s="103"/>
      <c r="O28" s="103"/>
      <c r="P28" s="103"/>
      <c r="Q28" s="103"/>
      <c r="R28" s="103"/>
      <c r="S28" s="103"/>
      <c r="T28" s="103"/>
      <c r="U28" s="103"/>
      <c r="V28" s="103"/>
      <c r="W28" s="103"/>
      <c r="X28" s="103"/>
      <c r="Y28" s="103"/>
      <c r="Z28" s="103"/>
      <c r="AA28" s="103"/>
      <c r="AB28" s="103"/>
      <c r="AC28" s="103"/>
      <c r="AD28" s="103"/>
      <c r="AE28" s="103"/>
      <c r="AF28" s="103"/>
      <c r="AG28" s="103"/>
      <c r="AH28" s="103"/>
      <c r="AI28" s="103"/>
      <c r="AJ28" s="103"/>
      <c r="AK28" s="103"/>
      <c r="AL28" s="103"/>
      <c r="AM28" s="103"/>
      <c r="AN28" s="103"/>
      <c r="AO28" s="103"/>
      <c r="AP28" s="103"/>
      <c r="AQ28" s="103"/>
      <c r="AR28" s="103"/>
      <c r="AS28" s="103"/>
      <c r="AT28" s="103"/>
      <c r="AU28" s="103"/>
      <c r="AV28" s="103"/>
      <c r="AW28" s="103"/>
      <c r="AX28" s="103"/>
      <c r="AY28" s="103"/>
      <c r="AZ28" s="103"/>
      <c r="BA28" s="103"/>
      <c r="BB28" s="103"/>
      <c r="BC28" s="103"/>
      <c r="BD28" s="103"/>
      <c r="BE28" s="103"/>
      <c r="BF28" s="103"/>
      <c r="BG28" s="103"/>
      <c r="BH28" s="103"/>
      <c r="BI28" s="103"/>
      <c r="BJ28" s="103"/>
      <c r="BK28" s="103"/>
      <c r="BL28" s="103"/>
      <c r="BM28" s="103"/>
      <c r="BN28" s="103"/>
      <c r="BO28" s="103"/>
      <c r="BP28" s="103"/>
      <c r="BQ28" s="103"/>
      <c r="BR28" s="103"/>
      <c r="BS28" s="103"/>
      <c r="BT28" s="103"/>
      <c r="BU28" s="103"/>
      <c r="BV28" s="99"/>
    </row>
    <row r="29">
      <c r="A29" s="20"/>
      <c r="B29" s="20"/>
      <c r="C29" s="104" t="s">
        <v>54</v>
      </c>
      <c r="D29" s="105"/>
      <c r="E29" s="105"/>
      <c r="F29" s="105"/>
      <c r="G29" s="106" t="s">
        <v>48</v>
      </c>
      <c r="H29" s="112">
        <f t="shared" ref="H29:L29" si="22">SUMIFS($N29:$BI29,$N$19:$BI$19,H$19)</f>
        <v>6817</v>
      </c>
      <c r="I29" s="112">
        <f t="shared" si="22"/>
        <v>4045</v>
      </c>
      <c r="J29" s="112">
        <f t="shared" si="22"/>
        <v>0</v>
      </c>
      <c r="K29" s="112">
        <f t="shared" si="22"/>
        <v>0</v>
      </c>
      <c r="L29" s="112">
        <f t="shared" si="22"/>
        <v>0</v>
      </c>
      <c r="M29" s="20"/>
      <c r="N29" s="123">
        <v>500.0</v>
      </c>
      <c r="O29" s="124">
        <f t="shared" ref="O29:AE29" si="23">N32</f>
        <v>509</v>
      </c>
      <c r="P29" s="124">
        <f t="shared" si="23"/>
        <v>519</v>
      </c>
      <c r="Q29" s="124">
        <f t="shared" si="23"/>
        <v>531</v>
      </c>
      <c r="R29" s="124">
        <f t="shared" si="23"/>
        <v>543</v>
      </c>
      <c r="S29" s="124">
        <f t="shared" si="23"/>
        <v>556</v>
      </c>
      <c r="T29" s="124">
        <f t="shared" si="23"/>
        <v>576</v>
      </c>
      <c r="U29" s="124">
        <f t="shared" si="23"/>
        <v>595</v>
      </c>
      <c r="V29" s="124">
        <f t="shared" si="23"/>
        <v>606</v>
      </c>
      <c r="W29" s="124">
        <f t="shared" si="23"/>
        <v>615</v>
      </c>
      <c r="X29" s="124">
        <f t="shared" si="23"/>
        <v>629</v>
      </c>
      <c r="Y29" s="124">
        <f t="shared" si="23"/>
        <v>638</v>
      </c>
      <c r="Z29" s="124">
        <f t="shared" si="23"/>
        <v>648</v>
      </c>
      <c r="AA29" s="124">
        <f t="shared" si="23"/>
        <v>658</v>
      </c>
      <c r="AB29" s="124">
        <f t="shared" si="23"/>
        <v>672</v>
      </c>
      <c r="AC29" s="124">
        <f t="shared" si="23"/>
        <v>676</v>
      </c>
      <c r="AD29" s="124">
        <f t="shared" si="23"/>
        <v>687</v>
      </c>
      <c r="AE29" s="125">
        <f t="shared" si="23"/>
        <v>704</v>
      </c>
      <c r="AF29" s="109"/>
      <c r="AG29" s="109"/>
      <c r="AH29" s="109"/>
      <c r="AI29" s="109"/>
      <c r="AJ29" s="109"/>
      <c r="AK29" s="109"/>
      <c r="AL29" s="109"/>
      <c r="AM29" s="109"/>
      <c r="AN29" s="109"/>
      <c r="AO29" s="109"/>
      <c r="AP29" s="109"/>
      <c r="AQ29" s="109"/>
      <c r="AR29" s="109"/>
      <c r="AS29" s="109"/>
      <c r="AT29" s="109"/>
      <c r="AU29" s="109"/>
      <c r="AV29" s="109"/>
      <c r="AW29" s="109"/>
      <c r="AX29" s="109"/>
      <c r="AY29" s="109"/>
      <c r="AZ29" s="109"/>
      <c r="BA29" s="109"/>
      <c r="BB29" s="109"/>
      <c r="BC29" s="109"/>
      <c r="BD29" s="109"/>
      <c r="BE29" s="109"/>
      <c r="BF29" s="109"/>
      <c r="BG29" s="109"/>
      <c r="BH29" s="109"/>
      <c r="BI29" s="109"/>
      <c r="BJ29" s="109"/>
      <c r="BK29" s="109"/>
      <c r="BL29" s="109"/>
      <c r="BM29" s="109"/>
      <c r="BN29" s="109"/>
      <c r="BO29" s="109"/>
      <c r="BP29" s="109"/>
      <c r="BQ29" s="109"/>
      <c r="BR29" s="109"/>
      <c r="BS29" s="109"/>
      <c r="BT29" s="109"/>
      <c r="BU29" s="109"/>
      <c r="BV29" s="99"/>
    </row>
    <row r="30">
      <c r="A30" s="20"/>
      <c r="B30" s="20"/>
      <c r="C30" s="110" t="s">
        <v>55</v>
      </c>
      <c r="D30" s="111"/>
      <c r="E30" s="111"/>
      <c r="F30" s="111"/>
      <c r="G30" s="106" t="s">
        <v>48</v>
      </c>
      <c r="H30" s="112">
        <f t="shared" ref="H30:L30" si="24">SUMIFS($N30:$BI30,$N$19:$BI$19,H$19)</f>
        <v>248</v>
      </c>
      <c r="I30" s="112">
        <f t="shared" si="24"/>
        <v>126</v>
      </c>
      <c r="J30" s="112">
        <f t="shared" si="24"/>
        <v>0</v>
      </c>
      <c r="K30" s="112">
        <f t="shared" si="24"/>
        <v>0</v>
      </c>
      <c r="L30" s="112">
        <f t="shared" si="24"/>
        <v>0</v>
      </c>
      <c r="M30" s="20"/>
      <c r="N30" s="126">
        <f t="shared" ref="N30:AE30" si="25">N41</f>
        <v>16</v>
      </c>
      <c r="O30" s="126">
        <f t="shared" si="25"/>
        <v>21</v>
      </c>
      <c r="P30" s="126">
        <f t="shared" si="25"/>
        <v>23</v>
      </c>
      <c r="Q30" s="126">
        <f t="shared" si="25"/>
        <v>19</v>
      </c>
      <c r="R30" s="126">
        <f t="shared" si="25"/>
        <v>18</v>
      </c>
      <c r="S30" s="126">
        <f t="shared" si="25"/>
        <v>28</v>
      </c>
      <c r="T30" s="126">
        <f t="shared" si="25"/>
        <v>25</v>
      </c>
      <c r="U30" s="126">
        <f t="shared" si="25"/>
        <v>23</v>
      </c>
      <c r="V30" s="126">
        <f t="shared" si="25"/>
        <v>19</v>
      </c>
      <c r="W30" s="126">
        <f t="shared" si="25"/>
        <v>23</v>
      </c>
      <c r="X30" s="126">
        <f t="shared" si="25"/>
        <v>17</v>
      </c>
      <c r="Y30" s="126">
        <f t="shared" si="25"/>
        <v>16</v>
      </c>
      <c r="Z30" s="126">
        <f t="shared" si="25"/>
        <v>22</v>
      </c>
      <c r="AA30" s="126">
        <f t="shared" si="25"/>
        <v>20</v>
      </c>
      <c r="AB30" s="126">
        <f t="shared" si="25"/>
        <v>13</v>
      </c>
      <c r="AC30" s="126">
        <f t="shared" si="25"/>
        <v>21</v>
      </c>
      <c r="AD30" s="126">
        <f t="shared" si="25"/>
        <v>27</v>
      </c>
      <c r="AE30" s="126">
        <f t="shared" si="25"/>
        <v>23</v>
      </c>
      <c r="AF30" s="109"/>
      <c r="AG30" s="109"/>
      <c r="AH30" s="109"/>
      <c r="AI30" s="109"/>
      <c r="AJ30" s="109"/>
      <c r="AK30" s="109"/>
      <c r="AL30" s="109"/>
      <c r="AM30" s="109"/>
      <c r="AN30" s="109"/>
      <c r="AO30" s="109"/>
      <c r="AP30" s="109"/>
      <c r="AQ30" s="109"/>
      <c r="AR30" s="109"/>
      <c r="AS30" s="109"/>
      <c r="AT30" s="109"/>
      <c r="AU30" s="109"/>
      <c r="AV30" s="109"/>
      <c r="AW30" s="109"/>
      <c r="AX30" s="109"/>
      <c r="AY30" s="109"/>
      <c r="AZ30" s="109"/>
      <c r="BA30" s="109"/>
      <c r="BB30" s="109"/>
      <c r="BC30" s="109"/>
      <c r="BD30" s="109"/>
      <c r="BE30" s="109"/>
      <c r="BF30" s="109"/>
      <c r="BG30" s="109"/>
      <c r="BH30" s="109"/>
      <c r="BI30" s="109"/>
      <c r="BJ30" s="109"/>
      <c r="BK30" s="109"/>
      <c r="BL30" s="109"/>
      <c r="BM30" s="109"/>
      <c r="BN30" s="109"/>
      <c r="BO30" s="109"/>
      <c r="BP30" s="109"/>
      <c r="BQ30" s="109"/>
      <c r="BR30" s="109"/>
      <c r="BS30" s="109"/>
      <c r="BT30" s="109"/>
      <c r="BU30" s="109"/>
      <c r="BV30" s="99"/>
    </row>
    <row r="31">
      <c r="A31" s="20"/>
      <c r="B31" s="20"/>
      <c r="C31" s="113" t="s">
        <v>56</v>
      </c>
      <c r="D31" s="114"/>
      <c r="E31" s="114"/>
      <c r="F31" s="114"/>
      <c r="G31" s="115" t="s">
        <v>48</v>
      </c>
      <c r="H31" s="116">
        <f t="shared" ref="H31:L31" si="26">SUMIFS($N31:$BI31,$N$19:$BI$19,H$19)</f>
        <v>-100</v>
      </c>
      <c r="I31" s="116">
        <f t="shared" si="26"/>
        <v>-58</v>
      </c>
      <c r="J31" s="116">
        <f t="shared" si="26"/>
        <v>0</v>
      </c>
      <c r="K31" s="116">
        <f t="shared" si="26"/>
        <v>0</v>
      </c>
      <c r="L31" s="116">
        <f t="shared" si="26"/>
        <v>0</v>
      </c>
      <c r="M31" s="20"/>
      <c r="N31" s="127">
        <f t="shared" ref="N31:AE31" si="27">-N49</f>
        <v>-7</v>
      </c>
      <c r="O31" s="127">
        <f t="shared" si="27"/>
        <v>-11</v>
      </c>
      <c r="P31" s="127">
        <f t="shared" si="27"/>
        <v>-11</v>
      </c>
      <c r="Q31" s="127">
        <f t="shared" si="27"/>
        <v>-7</v>
      </c>
      <c r="R31" s="127">
        <f t="shared" si="27"/>
        <v>-5</v>
      </c>
      <c r="S31" s="127">
        <f t="shared" si="27"/>
        <v>-8</v>
      </c>
      <c r="T31" s="127">
        <f t="shared" si="27"/>
        <v>-6</v>
      </c>
      <c r="U31" s="127">
        <f t="shared" si="27"/>
        <v>-12</v>
      </c>
      <c r="V31" s="127">
        <f t="shared" si="27"/>
        <v>-10</v>
      </c>
      <c r="W31" s="127">
        <f t="shared" si="27"/>
        <v>-9</v>
      </c>
      <c r="X31" s="127">
        <f t="shared" si="27"/>
        <v>-8</v>
      </c>
      <c r="Y31" s="127">
        <f t="shared" si="27"/>
        <v>-6</v>
      </c>
      <c r="Z31" s="127">
        <f t="shared" si="27"/>
        <v>-12</v>
      </c>
      <c r="AA31" s="127">
        <f t="shared" si="27"/>
        <v>-6</v>
      </c>
      <c r="AB31" s="127">
        <f t="shared" si="27"/>
        <v>-9</v>
      </c>
      <c r="AC31" s="127">
        <f t="shared" si="27"/>
        <v>-10</v>
      </c>
      <c r="AD31" s="127">
        <f t="shared" si="27"/>
        <v>-10</v>
      </c>
      <c r="AE31" s="127">
        <f t="shared" si="27"/>
        <v>-11</v>
      </c>
      <c r="AF31" s="109"/>
      <c r="AG31" s="109"/>
      <c r="AH31" s="109"/>
      <c r="AI31" s="109"/>
      <c r="AJ31" s="109"/>
      <c r="AK31" s="109"/>
      <c r="AL31" s="109"/>
      <c r="AM31" s="109"/>
      <c r="AN31" s="109"/>
      <c r="AO31" s="109"/>
      <c r="AP31" s="109"/>
      <c r="AQ31" s="109"/>
      <c r="AR31" s="109"/>
      <c r="AS31" s="109"/>
      <c r="AT31" s="109"/>
      <c r="AU31" s="109"/>
      <c r="AV31" s="109"/>
      <c r="AW31" s="109"/>
      <c r="AX31" s="109"/>
      <c r="AY31" s="109"/>
      <c r="AZ31" s="109"/>
      <c r="BA31" s="109"/>
      <c r="BB31" s="109"/>
      <c r="BC31" s="109"/>
      <c r="BD31" s="109"/>
      <c r="BE31" s="109"/>
      <c r="BF31" s="109"/>
      <c r="BG31" s="109"/>
      <c r="BH31" s="109"/>
      <c r="BI31" s="109"/>
      <c r="BJ31" s="109"/>
      <c r="BK31" s="109"/>
      <c r="BL31" s="109"/>
      <c r="BM31" s="109"/>
      <c r="BN31" s="109"/>
      <c r="BO31" s="109"/>
      <c r="BP31" s="109"/>
      <c r="BQ31" s="109"/>
      <c r="BR31" s="109"/>
      <c r="BS31" s="109"/>
      <c r="BT31" s="109"/>
      <c r="BU31" s="109"/>
      <c r="BV31" s="99"/>
    </row>
    <row r="32">
      <c r="A32" s="20"/>
      <c r="B32" s="20"/>
      <c r="C32" s="118" t="s">
        <v>57</v>
      </c>
      <c r="D32" s="119"/>
      <c r="E32" s="119"/>
      <c r="F32" s="119"/>
      <c r="G32" s="120" t="s">
        <v>48</v>
      </c>
      <c r="H32" s="121">
        <f t="shared" ref="H32:L32" si="28">SUMIFS($N32:$BI32,$N$19:$BI$19,H$19)</f>
        <v>6965</v>
      </c>
      <c r="I32" s="121">
        <f t="shared" si="28"/>
        <v>4113</v>
      </c>
      <c r="J32" s="128">
        <f t="shared" si="28"/>
        <v>0</v>
      </c>
      <c r="K32" s="128">
        <f t="shared" si="28"/>
        <v>0</v>
      </c>
      <c r="L32" s="128">
        <f t="shared" si="28"/>
        <v>0</v>
      </c>
      <c r="M32" s="20"/>
      <c r="N32" s="129">
        <f t="shared" ref="N32:AE32" si="29">SUM(N29:N31)</f>
        <v>509</v>
      </c>
      <c r="O32" s="128">
        <f t="shared" si="29"/>
        <v>519</v>
      </c>
      <c r="P32" s="128">
        <f t="shared" si="29"/>
        <v>531</v>
      </c>
      <c r="Q32" s="128">
        <f t="shared" si="29"/>
        <v>543</v>
      </c>
      <c r="R32" s="128">
        <f t="shared" si="29"/>
        <v>556</v>
      </c>
      <c r="S32" s="128">
        <f t="shared" si="29"/>
        <v>576</v>
      </c>
      <c r="T32" s="128">
        <f t="shared" si="29"/>
        <v>595</v>
      </c>
      <c r="U32" s="128">
        <f t="shared" si="29"/>
        <v>606</v>
      </c>
      <c r="V32" s="128">
        <f t="shared" si="29"/>
        <v>615</v>
      </c>
      <c r="W32" s="128">
        <f t="shared" si="29"/>
        <v>629</v>
      </c>
      <c r="X32" s="128">
        <f t="shared" si="29"/>
        <v>638</v>
      </c>
      <c r="Y32" s="128">
        <f t="shared" si="29"/>
        <v>648</v>
      </c>
      <c r="Z32" s="128">
        <f t="shared" si="29"/>
        <v>658</v>
      </c>
      <c r="AA32" s="128">
        <f t="shared" si="29"/>
        <v>672</v>
      </c>
      <c r="AB32" s="128">
        <f t="shared" si="29"/>
        <v>676</v>
      </c>
      <c r="AC32" s="128">
        <f t="shared" si="29"/>
        <v>687</v>
      </c>
      <c r="AD32" s="128">
        <f t="shared" si="29"/>
        <v>704</v>
      </c>
      <c r="AE32" s="130">
        <f t="shared" si="29"/>
        <v>716</v>
      </c>
      <c r="AF32" s="109"/>
      <c r="AG32" s="109"/>
      <c r="AH32" s="109"/>
      <c r="AI32" s="109"/>
      <c r="AJ32" s="109"/>
      <c r="AK32" s="109"/>
      <c r="AL32" s="109"/>
      <c r="AM32" s="109"/>
      <c r="AN32" s="109"/>
      <c r="AO32" s="109"/>
      <c r="AP32" s="109"/>
      <c r="AQ32" s="109"/>
      <c r="AR32" s="109"/>
      <c r="AS32" s="109"/>
      <c r="AT32" s="109"/>
      <c r="AU32" s="109"/>
      <c r="AV32" s="109"/>
      <c r="AW32" s="109"/>
      <c r="AX32" s="109"/>
      <c r="AY32" s="109"/>
      <c r="AZ32" s="109"/>
      <c r="BA32" s="109"/>
      <c r="BB32" s="109"/>
      <c r="BC32" s="109"/>
      <c r="BD32" s="109"/>
      <c r="BE32" s="109"/>
      <c r="BF32" s="109"/>
      <c r="BG32" s="109"/>
      <c r="BH32" s="109"/>
      <c r="BI32" s="109"/>
      <c r="BJ32" s="109"/>
      <c r="BK32" s="109"/>
      <c r="BL32" s="109"/>
      <c r="BM32" s="109"/>
      <c r="BN32" s="109"/>
      <c r="BO32" s="109"/>
      <c r="BP32" s="109"/>
      <c r="BQ32" s="109"/>
      <c r="BR32" s="109"/>
      <c r="BS32" s="109"/>
      <c r="BT32" s="109"/>
      <c r="BU32" s="109"/>
      <c r="BV32" s="99"/>
    </row>
    <row r="33">
      <c r="A33" s="20"/>
      <c r="B33" s="20"/>
      <c r="C33" s="131"/>
      <c r="D33" s="109"/>
      <c r="E33" s="109"/>
      <c r="F33" s="109"/>
      <c r="G33" s="109"/>
      <c r="H33" s="109"/>
      <c r="I33" s="109"/>
      <c r="J33" s="109"/>
      <c r="K33" s="109"/>
      <c r="L33" s="109"/>
      <c r="M33" s="20"/>
      <c r="N33" s="109"/>
      <c r="O33" s="109"/>
      <c r="P33" s="109"/>
      <c r="Q33" s="109"/>
      <c r="R33" s="109"/>
      <c r="S33" s="109"/>
      <c r="T33" s="109"/>
      <c r="U33" s="109"/>
      <c r="V33" s="109"/>
      <c r="W33" s="109"/>
      <c r="X33" s="109"/>
      <c r="Y33" s="109"/>
      <c r="Z33" s="109"/>
      <c r="AA33" s="109"/>
      <c r="AB33" s="109"/>
      <c r="AC33" s="109"/>
      <c r="AD33" s="109"/>
      <c r="AE33" s="109"/>
      <c r="AF33" s="109"/>
      <c r="AG33" s="109"/>
      <c r="AH33" s="109"/>
      <c r="AI33" s="109"/>
      <c r="AJ33" s="109"/>
      <c r="AK33" s="109"/>
      <c r="AL33" s="109"/>
      <c r="AM33" s="109"/>
      <c r="AN33" s="109"/>
      <c r="AO33" s="109"/>
      <c r="AP33" s="109"/>
      <c r="AQ33" s="109"/>
      <c r="AR33" s="109"/>
      <c r="AS33" s="109"/>
      <c r="AT33" s="109"/>
      <c r="AU33" s="109"/>
      <c r="AV33" s="109"/>
      <c r="AW33" s="109"/>
      <c r="AX33" s="109"/>
      <c r="AY33" s="109"/>
      <c r="AZ33" s="109"/>
      <c r="BA33" s="109"/>
      <c r="BB33" s="109"/>
      <c r="BC33" s="109"/>
      <c r="BD33" s="109"/>
      <c r="BE33" s="109"/>
      <c r="BF33" s="109"/>
      <c r="BG33" s="109"/>
      <c r="BH33" s="109"/>
      <c r="BI33" s="109"/>
      <c r="BJ33" s="109"/>
      <c r="BK33" s="109"/>
      <c r="BL33" s="109"/>
      <c r="BM33" s="109"/>
      <c r="BN33" s="109"/>
      <c r="BO33" s="109"/>
      <c r="BP33" s="109"/>
      <c r="BQ33" s="109"/>
      <c r="BR33" s="109"/>
      <c r="BS33" s="109"/>
      <c r="BT33" s="109"/>
      <c r="BU33" s="109"/>
      <c r="BV33" s="99"/>
    </row>
    <row r="34">
      <c r="A34" s="20"/>
      <c r="B34" s="20"/>
      <c r="C34" s="102" t="s">
        <v>58</v>
      </c>
      <c r="D34" s="103"/>
      <c r="E34" s="103"/>
      <c r="F34" s="103"/>
      <c r="G34" s="103"/>
      <c r="H34" s="103"/>
      <c r="I34" s="103"/>
      <c r="J34" s="103"/>
      <c r="K34" s="103"/>
      <c r="L34" s="103"/>
      <c r="M34" s="20"/>
      <c r="N34" s="103"/>
      <c r="O34" s="103"/>
      <c r="P34" s="103"/>
      <c r="Q34" s="103"/>
      <c r="R34" s="103"/>
      <c r="S34" s="103"/>
      <c r="T34" s="103"/>
      <c r="U34" s="103"/>
      <c r="V34" s="103"/>
      <c r="W34" s="103"/>
      <c r="X34" s="103"/>
      <c r="Y34" s="103"/>
      <c r="Z34" s="103"/>
      <c r="AA34" s="103"/>
      <c r="AB34" s="103"/>
      <c r="AC34" s="103"/>
      <c r="AD34" s="103"/>
      <c r="AE34" s="103"/>
      <c r="AF34" s="103"/>
      <c r="AG34" s="103"/>
      <c r="AH34" s="103"/>
      <c r="AI34" s="103"/>
      <c r="AJ34" s="103"/>
      <c r="AK34" s="103"/>
      <c r="AL34" s="103"/>
      <c r="AM34" s="103"/>
      <c r="AN34" s="103"/>
      <c r="AO34" s="103"/>
      <c r="AP34" s="103"/>
      <c r="AQ34" s="103"/>
      <c r="AR34" s="103"/>
      <c r="AS34" s="103"/>
      <c r="AT34" s="103"/>
      <c r="AU34" s="103"/>
      <c r="AV34" s="103"/>
      <c r="AW34" s="103"/>
      <c r="AX34" s="103"/>
      <c r="AY34" s="103"/>
      <c r="AZ34" s="103"/>
      <c r="BA34" s="103"/>
      <c r="BB34" s="103"/>
      <c r="BC34" s="103"/>
      <c r="BD34" s="103"/>
      <c r="BE34" s="103"/>
      <c r="BF34" s="103"/>
      <c r="BG34" s="103"/>
      <c r="BH34" s="103"/>
      <c r="BI34" s="103"/>
      <c r="BJ34" s="103"/>
      <c r="BK34" s="103"/>
      <c r="BL34" s="103"/>
      <c r="BM34" s="103"/>
      <c r="BN34" s="103"/>
      <c r="BO34" s="103"/>
      <c r="BP34" s="103"/>
      <c r="BQ34" s="103"/>
      <c r="BR34" s="103"/>
      <c r="BS34" s="103"/>
      <c r="BT34" s="103"/>
      <c r="BU34" s="103"/>
      <c r="BV34" s="99"/>
    </row>
    <row r="35">
      <c r="A35" s="20"/>
      <c r="B35" s="20"/>
      <c r="C35" s="110" t="s">
        <v>59</v>
      </c>
      <c r="D35" s="111"/>
      <c r="E35" s="111"/>
      <c r="F35" s="111"/>
      <c r="G35" s="106" t="s">
        <v>48</v>
      </c>
      <c r="H35" s="112">
        <f t="shared" ref="H35:L35" si="30">iferror(AVERAGEIFS($N35:$BI35,$N$19:$BI$19,H$19),0)</f>
        <v>25431.51258</v>
      </c>
      <c r="I35" s="112">
        <f t="shared" si="30"/>
        <v>27219.75765</v>
      </c>
      <c r="J35" s="112">
        <f t="shared" si="30"/>
        <v>0</v>
      </c>
      <c r="K35" s="112">
        <f t="shared" si="30"/>
        <v>0</v>
      </c>
      <c r="L35" s="112">
        <f t="shared" si="30"/>
        <v>0</v>
      </c>
      <c r="M35" s="20"/>
      <c r="N35" s="112">
        <f t="shared" ref="N35:AE35" si="31">N26/N32</f>
        <v>24064.4403</v>
      </c>
      <c r="O35" s="112">
        <f t="shared" si="31"/>
        <v>24453.52532</v>
      </c>
      <c r="P35" s="112">
        <f t="shared" si="31"/>
        <v>24868.99404</v>
      </c>
      <c r="Q35" s="112">
        <f t="shared" si="31"/>
        <v>25037.93457</v>
      </c>
      <c r="R35" s="112">
        <f t="shared" si="31"/>
        <v>25052.7046</v>
      </c>
      <c r="S35" s="112">
        <f t="shared" si="31"/>
        <v>25180.80328</v>
      </c>
      <c r="T35" s="112">
        <f t="shared" si="31"/>
        <v>25543.65416</v>
      </c>
      <c r="U35" s="112">
        <f t="shared" si="31"/>
        <v>25906.91861</v>
      </c>
      <c r="V35" s="112">
        <f t="shared" si="31"/>
        <v>26012.97447</v>
      </c>
      <c r="W35" s="112">
        <f t="shared" si="31"/>
        <v>26330.84086</v>
      </c>
      <c r="X35" s="112">
        <f t="shared" si="31"/>
        <v>26337.91408</v>
      </c>
      <c r="Y35" s="112">
        <f t="shared" si="31"/>
        <v>26387.44667</v>
      </c>
      <c r="Z35" s="112">
        <f t="shared" si="31"/>
        <v>26765.36386</v>
      </c>
      <c r="AA35" s="112">
        <f t="shared" si="31"/>
        <v>27094.88721</v>
      </c>
      <c r="AB35" s="112">
        <f t="shared" si="31"/>
        <v>27297.36755</v>
      </c>
      <c r="AC35" s="112">
        <f t="shared" si="31"/>
        <v>27429.89063</v>
      </c>
      <c r="AD35" s="112">
        <f t="shared" si="31"/>
        <v>27366.58804</v>
      </c>
      <c r="AE35" s="112">
        <f t="shared" si="31"/>
        <v>27364.44864</v>
      </c>
      <c r="AF35" s="109"/>
      <c r="AG35" s="109"/>
      <c r="AH35" s="109"/>
      <c r="AI35" s="109"/>
      <c r="AJ35" s="109"/>
      <c r="AK35" s="109"/>
      <c r="AL35" s="109"/>
      <c r="AM35" s="109"/>
      <c r="AN35" s="109"/>
      <c r="AO35" s="109"/>
      <c r="AP35" s="109"/>
      <c r="AQ35" s="109"/>
      <c r="AR35" s="109"/>
      <c r="AS35" s="109"/>
      <c r="AT35" s="109"/>
      <c r="AU35" s="109"/>
      <c r="AV35" s="109"/>
      <c r="AW35" s="109"/>
      <c r="AX35" s="109"/>
      <c r="AY35" s="109"/>
      <c r="AZ35" s="109"/>
      <c r="BA35" s="109"/>
      <c r="BB35" s="109"/>
      <c r="BC35" s="109"/>
      <c r="BD35" s="109"/>
      <c r="BE35" s="109"/>
      <c r="BF35" s="109"/>
      <c r="BG35" s="109"/>
      <c r="BH35" s="109"/>
      <c r="BI35" s="109"/>
      <c r="BJ35" s="109"/>
      <c r="BK35" s="109"/>
      <c r="BL35" s="109"/>
      <c r="BM35" s="109"/>
      <c r="BN35" s="109"/>
      <c r="BO35" s="109"/>
      <c r="BP35" s="109"/>
      <c r="BQ35" s="109"/>
      <c r="BR35" s="109"/>
      <c r="BS35" s="109"/>
      <c r="BT35" s="109"/>
      <c r="BU35" s="109"/>
      <c r="BV35" s="99"/>
    </row>
    <row r="36">
      <c r="A36" s="20"/>
      <c r="B36" s="20"/>
      <c r="C36" s="131"/>
      <c r="D36" s="109"/>
      <c r="E36" s="109"/>
      <c r="F36" s="109"/>
      <c r="G36" s="109"/>
      <c r="H36" s="109"/>
      <c r="I36" s="109"/>
      <c r="J36" s="109"/>
      <c r="K36" s="109"/>
      <c r="L36" s="109"/>
      <c r="M36" s="20"/>
      <c r="N36" s="109"/>
      <c r="O36" s="109"/>
      <c r="P36" s="109"/>
      <c r="Q36" s="109"/>
      <c r="R36" s="109"/>
      <c r="S36" s="109"/>
      <c r="T36" s="109"/>
      <c r="U36" s="109"/>
      <c r="V36" s="109"/>
      <c r="W36" s="109"/>
      <c r="X36" s="109"/>
      <c r="Y36" s="109"/>
      <c r="Z36" s="109"/>
      <c r="AA36" s="109"/>
      <c r="AB36" s="109"/>
      <c r="AC36" s="109"/>
      <c r="AD36" s="109"/>
      <c r="AE36" s="109"/>
      <c r="AF36" s="109"/>
      <c r="AG36" s="109"/>
      <c r="AH36" s="109"/>
      <c r="AI36" s="109"/>
      <c r="AJ36" s="109"/>
      <c r="AK36" s="109"/>
      <c r="AL36" s="109"/>
      <c r="AM36" s="109"/>
      <c r="AN36" s="109"/>
      <c r="AO36" s="109"/>
      <c r="AP36" s="109"/>
      <c r="AQ36" s="109"/>
      <c r="AR36" s="109"/>
      <c r="AS36" s="109"/>
      <c r="AT36" s="109"/>
      <c r="AU36" s="109"/>
      <c r="AV36" s="109"/>
      <c r="AW36" s="109"/>
      <c r="AX36" s="109"/>
      <c r="AY36" s="109"/>
      <c r="AZ36" s="109"/>
      <c r="BA36" s="109"/>
      <c r="BB36" s="109"/>
      <c r="BC36" s="109"/>
      <c r="BD36" s="109"/>
      <c r="BE36" s="109"/>
      <c r="BF36" s="109"/>
      <c r="BG36" s="109"/>
      <c r="BH36" s="109"/>
      <c r="BI36" s="109"/>
      <c r="BJ36" s="109"/>
      <c r="BK36" s="109"/>
      <c r="BL36" s="109"/>
      <c r="BM36" s="109"/>
      <c r="BN36" s="109"/>
      <c r="BO36" s="109"/>
      <c r="BP36" s="109"/>
      <c r="BQ36" s="109"/>
      <c r="BR36" s="109"/>
      <c r="BS36" s="109"/>
      <c r="BT36" s="109"/>
      <c r="BU36" s="109"/>
      <c r="BV36" s="99"/>
    </row>
    <row r="37">
      <c r="A37" s="20"/>
      <c r="B37" s="20"/>
      <c r="C37" s="102" t="s">
        <v>60</v>
      </c>
      <c r="D37" s="103"/>
      <c r="E37" s="103"/>
      <c r="F37" s="103"/>
      <c r="G37" s="103"/>
      <c r="H37" s="103"/>
      <c r="I37" s="103"/>
      <c r="J37" s="103"/>
      <c r="K37" s="103"/>
      <c r="L37" s="103"/>
      <c r="M37" s="20"/>
      <c r="N37" s="103"/>
      <c r="O37" s="103"/>
      <c r="P37" s="103"/>
      <c r="Q37" s="103"/>
      <c r="R37" s="103"/>
      <c r="S37" s="103"/>
      <c r="T37" s="103"/>
      <c r="U37" s="103"/>
      <c r="V37" s="103"/>
      <c r="W37" s="103"/>
      <c r="X37" s="103"/>
      <c r="Y37" s="103"/>
      <c r="Z37" s="103"/>
      <c r="AA37" s="103"/>
      <c r="AB37" s="103"/>
      <c r="AC37" s="103"/>
      <c r="AD37" s="103"/>
      <c r="AE37" s="103"/>
      <c r="AF37" s="103"/>
      <c r="AG37" s="103"/>
      <c r="AH37" s="103"/>
      <c r="AI37" s="103"/>
      <c r="AJ37" s="103"/>
      <c r="AK37" s="103"/>
      <c r="AL37" s="103"/>
      <c r="AM37" s="103"/>
      <c r="AN37" s="103"/>
      <c r="AO37" s="103"/>
      <c r="AP37" s="103"/>
      <c r="AQ37" s="103"/>
      <c r="AR37" s="103"/>
      <c r="AS37" s="103"/>
      <c r="AT37" s="103"/>
      <c r="AU37" s="103"/>
      <c r="AV37" s="103"/>
      <c r="AW37" s="103"/>
      <c r="AX37" s="103"/>
      <c r="AY37" s="103"/>
      <c r="AZ37" s="103"/>
      <c r="BA37" s="103"/>
      <c r="BB37" s="103"/>
      <c r="BC37" s="103"/>
      <c r="BD37" s="103"/>
      <c r="BE37" s="103"/>
      <c r="BF37" s="103"/>
      <c r="BG37" s="103"/>
      <c r="BH37" s="103"/>
      <c r="BI37" s="103"/>
      <c r="BJ37" s="103"/>
      <c r="BK37" s="103"/>
      <c r="BL37" s="103"/>
      <c r="BM37" s="103"/>
      <c r="BN37" s="103"/>
      <c r="BO37" s="103"/>
      <c r="BP37" s="103"/>
      <c r="BQ37" s="103"/>
      <c r="BR37" s="103"/>
      <c r="BS37" s="103"/>
      <c r="BT37" s="103"/>
      <c r="BU37" s="103"/>
      <c r="BV37" s="99"/>
    </row>
    <row r="38">
      <c r="A38" s="20"/>
      <c r="B38" s="20"/>
      <c r="C38" s="110" t="s">
        <v>61</v>
      </c>
      <c r="D38" s="111"/>
      <c r="E38" s="111"/>
      <c r="F38" s="111"/>
      <c r="G38" s="106" t="s">
        <v>33</v>
      </c>
      <c r="H38" s="112">
        <f t="shared" ref="H38:L38" si="32">SUMIFS($N38:$BI38,$N$19:$BI$19,H$19)</f>
        <v>6108</v>
      </c>
      <c r="I38" s="112">
        <f t="shared" si="32"/>
        <v>2986</v>
      </c>
      <c r="J38" s="112">
        <f t="shared" si="32"/>
        <v>0</v>
      </c>
      <c r="K38" s="112">
        <f t="shared" si="32"/>
        <v>0</v>
      </c>
      <c r="L38" s="112">
        <f t="shared" si="32"/>
        <v>0</v>
      </c>
      <c r="M38" s="20"/>
      <c r="N38" s="132">
        <v>466.0</v>
      </c>
      <c r="O38" s="132">
        <v>534.0</v>
      </c>
      <c r="P38" s="132">
        <v>485.0</v>
      </c>
      <c r="Q38" s="132">
        <v>507.0</v>
      </c>
      <c r="R38" s="132">
        <v>515.0</v>
      </c>
      <c r="S38" s="132">
        <v>542.0</v>
      </c>
      <c r="T38" s="132">
        <v>466.0</v>
      </c>
      <c r="U38" s="132">
        <v>541.0</v>
      </c>
      <c r="V38" s="132">
        <v>536.0</v>
      </c>
      <c r="W38" s="132">
        <v>469.0</v>
      </c>
      <c r="X38" s="132">
        <v>525.0</v>
      </c>
      <c r="Y38" s="132">
        <v>522.0</v>
      </c>
      <c r="Z38" s="132">
        <v>508.0</v>
      </c>
      <c r="AA38" s="132">
        <v>450.0</v>
      </c>
      <c r="AB38" s="132">
        <v>450.0</v>
      </c>
      <c r="AC38" s="132">
        <v>520.0</v>
      </c>
      <c r="AD38" s="132">
        <v>531.0</v>
      </c>
      <c r="AE38" s="132">
        <v>527.0</v>
      </c>
      <c r="AF38" s="109"/>
      <c r="AG38" s="109"/>
      <c r="AH38" s="109"/>
      <c r="AI38" s="109"/>
      <c r="AJ38" s="109"/>
      <c r="AK38" s="109"/>
      <c r="AL38" s="109"/>
      <c r="AM38" s="109"/>
      <c r="AN38" s="109"/>
      <c r="AO38" s="109"/>
      <c r="AP38" s="109"/>
      <c r="AQ38" s="109"/>
      <c r="AR38" s="109"/>
      <c r="AS38" s="109"/>
      <c r="AT38" s="109"/>
      <c r="AU38" s="109"/>
      <c r="AV38" s="109"/>
      <c r="AW38" s="109"/>
      <c r="AX38" s="109"/>
      <c r="AY38" s="109"/>
      <c r="AZ38" s="109"/>
      <c r="BA38" s="109"/>
      <c r="BB38" s="109"/>
      <c r="BC38" s="109"/>
      <c r="BD38" s="109"/>
      <c r="BE38" s="109"/>
      <c r="BF38" s="109"/>
      <c r="BG38" s="109"/>
      <c r="BH38" s="109"/>
      <c r="BI38" s="109"/>
      <c r="BJ38" s="109"/>
      <c r="BK38" s="109"/>
      <c r="BL38" s="109"/>
      <c r="BM38" s="109"/>
      <c r="BN38" s="109"/>
      <c r="BO38" s="109"/>
      <c r="BP38" s="109"/>
      <c r="BQ38" s="109"/>
      <c r="BR38" s="109"/>
      <c r="BS38" s="109"/>
      <c r="BT38" s="109"/>
      <c r="BU38" s="109"/>
      <c r="BV38" s="99"/>
    </row>
    <row r="39">
      <c r="A39" s="20"/>
      <c r="B39" s="20"/>
      <c r="C39" s="110" t="s">
        <v>62</v>
      </c>
      <c r="D39" s="111"/>
      <c r="E39" s="111"/>
      <c r="F39" s="111"/>
      <c r="G39" s="106" t="s">
        <v>33</v>
      </c>
      <c r="H39" s="112">
        <f t="shared" ref="H39:L39" si="33">SUMIFS($N39:$BI39,$N$19:$BI$19,H$19)</f>
        <v>787</v>
      </c>
      <c r="I39" s="112">
        <f t="shared" si="33"/>
        <v>395</v>
      </c>
      <c r="J39" s="112">
        <f t="shared" si="33"/>
        <v>0</v>
      </c>
      <c r="K39" s="112">
        <f t="shared" si="33"/>
        <v>0</v>
      </c>
      <c r="L39" s="112">
        <f t="shared" si="33"/>
        <v>0</v>
      </c>
      <c r="M39" s="20"/>
      <c r="N39" s="133">
        <v>61.0</v>
      </c>
      <c r="O39" s="133">
        <v>80.0</v>
      </c>
      <c r="P39" s="133">
        <v>68.0</v>
      </c>
      <c r="Q39" s="133">
        <v>61.0</v>
      </c>
      <c r="R39" s="133">
        <v>62.0</v>
      </c>
      <c r="S39" s="133">
        <v>76.0</v>
      </c>
      <c r="T39" s="133">
        <v>70.0</v>
      </c>
      <c r="U39" s="133">
        <v>70.0</v>
      </c>
      <c r="V39" s="133">
        <v>54.0</v>
      </c>
      <c r="W39" s="133">
        <v>70.0</v>
      </c>
      <c r="X39" s="133">
        <v>63.0</v>
      </c>
      <c r="Y39" s="133">
        <v>52.0</v>
      </c>
      <c r="Z39" s="133">
        <v>71.0</v>
      </c>
      <c r="AA39" s="133">
        <v>54.0</v>
      </c>
      <c r="AB39" s="133">
        <v>54.0</v>
      </c>
      <c r="AC39" s="133">
        <v>78.0</v>
      </c>
      <c r="AD39" s="133">
        <v>69.0</v>
      </c>
      <c r="AE39" s="133">
        <v>69.0</v>
      </c>
      <c r="AF39" s="109"/>
      <c r="AG39" s="109"/>
      <c r="AH39" s="109"/>
      <c r="AI39" s="109"/>
      <c r="AJ39" s="109"/>
      <c r="AK39" s="109"/>
      <c r="AL39" s="109"/>
      <c r="AM39" s="109"/>
      <c r="AN39" s="109"/>
      <c r="AO39" s="109"/>
      <c r="AP39" s="109"/>
      <c r="AQ39" s="109"/>
      <c r="AR39" s="109"/>
      <c r="AS39" s="109"/>
      <c r="AT39" s="109"/>
      <c r="AU39" s="109"/>
      <c r="AV39" s="109"/>
      <c r="AW39" s="109"/>
      <c r="AX39" s="109"/>
      <c r="AY39" s="109"/>
      <c r="AZ39" s="109"/>
      <c r="BA39" s="109"/>
      <c r="BB39" s="109"/>
      <c r="BC39" s="109"/>
      <c r="BD39" s="109"/>
      <c r="BE39" s="109"/>
      <c r="BF39" s="109"/>
      <c r="BG39" s="109"/>
      <c r="BH39" s="109"/>
      <c r="BI39" s="109"/>
      <c r="BJ39" s="109"/>
      <c r="BK39" s="109"/>
      <c r="BL39" s="109"/>
      <c r="BM39" s="109"/>
      <c r="BN39" s="109"/>
      <c r="BO39" s="109"/>
      <c r="BP39" s="109"/>
      <c r="BQ39" s="109"/>
      <c r="BR39" s="109"/>
      <c r="BS39" s="109"/>
      <c r="BT39" s="109"/>
      <c r="BU39" s="109"/>
      <c r="BV39" s="99"/>
    </row>
    <row r="40">
      <c r="A40" s="20"/>
      <c r="B40" s="20"/>
      <c r="C40" s="110" t="s">
        <v>63</v>
      </c>
      <c r="D40" s="111"/>
      <c r="E40" s="111"/>
      <c r="F40" s="111"/>
      <c r="G40" s="106" t="s">
        <v>33</v>
      </c>
      <c r="H40" s="112">
        <f t="shared" ref="H40:L40" si="34">SUMIFS($N40:$BI40,$N$19:$BI$19,H$19)</f>
        <v>353</v>
      </c>
      <c r="I40" s="112">
        <f t="shared" si="34"/>
        <v>179</v>
      </c>
      <c r="J40" s="112">
        <f t="shared" si="34"/>
        <v>0</v>
      </c>
      <c r="K40" s="112">
        <f t="shared" si="34"/>
        <v>0</v>
      </c>
      <c r="L40" s="112">
        <f t="shared" si="34"/>
        <v>0</v>
      </c>
      <c r="M40" s="20"/>
      <c r="N40" s="133">
        <v>22.0</v>
      </c>
      <c r="O40" s="133">
        <v>31.0</v>
      </c>
      <c r="P40" s="133">
        <v>31.0</v>
      </c>
      <c r="Q40" s="133">
        <v>28.0</v>
      </c>
      <c r="R40" s="133">
        <v>24.0</v>
      </c>
      <c r="S40" s="133">
        <v>41.0</v>
      </c>
      <c r="T40" s="133">
        <v>37.0</v>
      </c>
      <c r="U40" s="133">
        <v>33.0</v>
      </c>
      <c r="V40" s="133">
        <v>25.0</v>
      </c>
      <c r="W40" s="133">
        <v>36.0</v>
      </c>
      <c r="X40" s="133">
        <v>23.0</v>
      </c>
      <c r="Y40" s="133">
        <v>22.0</v>
      </c>
      <c r="Z40" s="133">
        <v>33.0</v>
      </c>
      <c r="AA40" s="133">
        <v>27.0</v>
      </c>
      <c r="AB40" s="133">
        <v>19.0</v>
      </c>
      <c r="AC40" s="133">
        <v>28.0</v>
      </c>
      <c r="AD40" s="133">
        <v>38.0</v>
      </c>
      <c r="AE40" s="133">
        <v>34.0</v>
      </c>
      <c r="AF40" s="109"/>
      <c r="AG40" s="109"/>
      <c r="AH40" s="109"/>
      <c r="AI40" s="109"/>
      <c r="AJ40" s="109"/>
      <c r="AK40" s="109"/>
      <c r="AL40" s="109"/>
      <c r="AM40" s="109"/>
      <c r="AN40" s="109"/>
      <c r="AO40" s="109"/>
      <c r="AP40" s="109"/>
      <c r="AQ40" s="109"/>
      <c r="AR40" s="109"/>
      <c r="AS40" s="109"/>
      <c r="AT40" s="109"/>
      <c r="AU40" s="109"/>
      <c r="AV40" s="109"/>
      <c r="AW40" s="109"/>
      <c r="AX40" s="109"/>
      <c r="AY40" s="109"/>
      <c r="AZ40" s="109"/>
      <c r="BA40" s="109"/>
      <c r="BB40" s="109"/>
      <c r="BC40" s="109"/>
      <c r="BD40" s="109"/>
      <c r="BE40" s="109"/>
      <c r="BF40" s="109"/>
      <c r="BG40" s="109"/>
      <c r="BH40" s="109"/>
      <c r="BI40" s="109"/>
      <c r="BJ40" s="109"/>
      <c r="BK40" s="109"/>
      <c r="BL40" s="109"/>
      <c r="BM40" s="109"/>
      <c r="BN40" s="109"/>
      <c r="BO40" s="109"/>
      <c r="BP40" s="109"/>
      <c r="BQ40" s="109"/>
      <c r="BR40" s="109"/>
      <c r="BS40" s="109"/>
      <c r="BT40" s="109"/>
      <c r="BU40" s="109"/>
      <c r="BV40" s="99"/>
    </row>
    <row r="41">
      <c r="A41" s="20"/>
      <c r="B41" s="20"/>
      <c r="C41" s="110" t="s">
        <v>64</v>
      </c>
      <c r="D41" s="111"/>
      <c r="E41" s="111"/>
      <c r="F41" s="111"/>
      <c r="G41" s="106" t="s">
        <v>33</v>
      </c>
      <c r="H41" s="112">
        <f t="shared" ref="H41:L41" si="35">SUMIFS($N41:$BI41,$N$19:$BI$19,H$19)</f>
        <v>248</v>
      </c>
      <c r="I41" s="112">
        <f t="shared" si="35"/>
        <v>126</v>
      </c>
      <c r="J41" s="112">
        <f t="shared" si="35"/>
        <v>0</v>
      </c>
      <c r="K41" s="112">
        <f t="shared" si="35"/>
        <v>0</v>
      </c>
      <c r="L41" s="112">
        <f t="shared" si="35"/>
        <v>0</v>
      </c>
      <c r="M41" s="20"/>
      <c r="N41" s="133">
        <v>16.0</v>
      </c>
      <c r="O41" s="133">
        <v>21.0</v>
      </c>
      <c r="P41" s="133">
        <v>23.0</v>
      </c>
      <c r="Q41" s="133">
        <v>19.0</v>
      </c>
      <c r="R41" s="133">
        <v>18.0</v>
      </c>
      <c r="S41" s="133">
        <v>28.0</v>
      </c>
      <c r="T41" s="133">
        <v>25.0</v>
      </c>
      <c r="U41" s="133">
        <v>23.0</v>
      </c>
      <c r="V41" s="133">
        <v>19.0</v>
      </c>
      <c r="W41" s="133">
        <v>23.0</v>
      </c>
      <c r="X41" s="133">
        <v>17.0</v>
      </c>
      <c r="Y41" s="133">
        <v>16.0</v>
      </c>
      <c r="Z41" s="133">
        <v>22.0</v>
      </c>
      <c r="AA41" s="133">
        <v>20.0</v>
      </c>
      <c r="AB41" s="133">
        <v>13.0</v>
      </c>
      <c r="AC41" s="133">
        <v>21.0</v>
      </c>
      <c r="AD41" s="133">
        <v>27.0</v>
      </c>
      <c r="AE41" s="133">
        <v>23.0</v>
      </c>
      <c r="AF41" s="109"/>
      <c r="AG41" s="109"/>
      <c r="AH41" s="109"/>
      <c r="AI41" s="109"/>
      <c r="AJ41" s="109"/>
      <c r="AK41" s="109"/>
      <c r="AL41" s="109"/>
      <c r="AM41" s="109"/>
      <c r="AN41" s="109"/>
      <c r="AO41" s="109"/>
      <c r="AP41" s="109"/>
      <c r="AQ41" s="109"/>
      <c r="AR41" s="109"/>
      <c r="AS41" s="109"/>
      <c r="AT41" s="109"/>
      <c r="AU41" s="109"/>
      <c r="AV41" s="109"/>
      <c r="AW41" s="109"/>
      <c r="AX41" s="109"/>
      <c r="AY41" s="109"/>
      <c r="AZ41" s="109"/>
      <c r="BA41" s="109"/>
      <c r="BB41" s="109"/>
      <c r="BC41" s="109"/>
      <c r="BD41" s="109"/>
      <c r="BE41" s="109"/>
      <c r="BF41" s="109"/>
      <c r="BG41" s="109"/>
      <c r="BH41" s="109"/>
      <c r="BI41" s="109"/>
      <c r="BJ41" s="109"/>
      <c r="BK41" s="109"/>
      <c r="BL41" s="109"/>
      <c r="BM41" s="109"/>
      <c r="BN41" s="109"/>
      <c r="BO41" s="109"/>
      <c r="BP41" s="109"/>
      <c r="BQ41" s="109"/>
      <c r="BR41" s="109"/>
      <c r="BS41" s="109"/>
      <c r="BT41" s="109"/>
      <c r="BU41" s="109"/>
      <c r="BV41" s="99"/>
    </row>
    <row r="42">
      <c r="A42" s="20"/>
      <c r="B42" s="20"/>
      <c r="C42" s="109"/>
      <c r="D42" s="109"/>
      <c r="E42" s="109"/>
      <c r="F42" s="109"/>
      <c r="G42" s="109"/>
      <c r="H42" s="109"/>
      <c r="I42" s="109"/>
      <c r="J42" s="109"/>
      <c r="K42" s="109"/>
      <c r="L42" s="109"/>
      <c r="M42" s="20"/>
      <c r="N42" s="109"/>
      <c r="O42" s="109"/>
      <c r="P42" s="109"/>
      <c r="Q42" s="109"/>
      <c r="R42" s="109"/>
      <c r="S42" s="109"/>
      <c r="T42" s="109"/>
      <c r="U42" s="109"/>
      <c r="V42" s="109"/>
      <c r="W42" s="109"/>
      <c r="X42" s="109"/>
      <c r="Y42" s="109"/>
      <c r="Z42" s="109"/>
      <c r="AA42" s="109"/>
      <c r="AB42" s="109"/>
      <c r="AC42" s="109"/>
      <c r="AD42" s="109"/>
      <c r="AE42" s="109"/>
      <c r="AF42" s="109"/>
      <c r="AG42" s="109"/>
      <c r="AH42" s="109"/>
      <c r="AI42" s="109"/>
      <c r="AJ42" s="109"/>
      <c r="AK42" s="109"/>
      <c r="AL42" s="109"/>
      <c r="AM42" s="109"/>
      <c r="AN42" s="109"/>
      <c r="AO42" s="109"/>
      <c r="AP42" s="109"/>
      <c r="AQ42" s="109"/>
      <c r="AR42" s="109"/>
      <c r="AS42" s="109"/>
      <c r="AT42" s="109"/>
      <c r="AU42" s="109"/>
      <c r="AV42" s="109"/>
      <c r="AW42" s="109"/>
      <c r="AX42" s="109"/>
      <c r="AY42" s="109"/>
      <c r="AZ42" s="109"/>
      <c r="BA42" s="109"/>
      <c r="BB42" s="109"/>
      <c r="BC42" s="109"/>
      <c r="BD42" s="109"/>
      <c r="BE42" s="109"/>
      <c r="BF42" s="109"/>
      <c r="BG42" s="109"/>
      <c r="BH42" s="109"/>
      <c r="BI42" s="109"/>
      <c r="BJ42" s="109"/>
      <c r="BK42" s="109"/>
      <c r="BL42" s="109"/>
      <c r="BM42" s="109"/>
      <c r="BN42" s="109"/>
      <c r="BO42" s="109"/>
      <c r="BP42" s="109"/>
      <c r="BQ42" s="109"/>
      <c r="BR42" s="109"/>
      <c r="BS42" s="109"/>
      <c r="BT42" s="109"/>
      <c r="BU42" s="109"/>
      <c r="BV42" s="99"/>
    </row>
    <row r="43">
      <c r="A43" s="20"/>
      <c r="B43" s="20"/>
      <c r="C43" s="110" t="s">
        <v>65</v>
      </c>
      <c r="D43" s="134"/>
      <c r="E43" s="135"/>
      <c r="F43" s="136"/>
      <c r="G43" s="106" t="s">
        <v>38</v>
      </c>
      <c r="H43" s="137">
        <f t="shared" ref="H43:L43" si="36">iferror(AVERAGEIFS($N43:$BI43,$N$19:$BI$19,H$19),0)</f>
        <v>0.1292555841</v>
      </c>
      <c r="I43" s="137">
        <f t="shared" si="36"/>
        <v>0.1317728456</v>
      </c>
      <c r="J43" s="137">
        <f t="shared" si="36"/>
        <v>0</v>
      </c>
      <c r="K43" s="137">
        <f t="shared" si="36"/>
        <v>0</v>
      </c>
      <c r="L43" s="137">
        <f t="shared" si="36"/>
        <v>0</v>
      </c>
      <c r="M43" s="20"/>
      <c r="N43" s="138">
        <f t="shared" ref="N43:AE43" si="37">N39/N38</f>
        <v>0.1309012876</v>
      </c>
      <c r="O43" s="138">
        <f t="shared" si="37"/>
        <v>0.1498127341</v>
      </c>
      <c r="P43" s="138">
        <f t="shared" si="37"/>
        <v>0.1402061856</v>
      </c>
      <c r="Q43" s="138">
        <f t="shared" si="37"/>
        <v>0.1203155819</v>
      </c>
      <c r="R43" s="138">
        <f t="shared" si="37"/>
        <v>0.1203883495</v>
      </c>
      <c r="S43" s="138">
        <f t="shared" si="37"/>
        <v>0.1402214022</v>
      </c>
      <c r="T43" s="138">
        <f t="shared" si="37"/>
        <v>0.1502145923</v>
      </c>
      <c r="U43" s="138">
        <f t="shared" si="37"/>
        <v>0.1293900185</v>
      </c>
      <c r="V43" s="138">
        <f t="shared" si="37"/>
        <v>0.1007462687</v>
      </c>
      <c r="W43" s="138">
        <f t="shared" si="37"/>
        <v>0.1492537313</v>
      </c>
      <c r="X43" s="138">
        <f t="shared" si="37"/>
        <v>0.12</v>
      </c>
      <c r="Y43" s="138">
        <f t="shared" si="37"/>
        <v>0.09961685824</v>
      </c>
      <c r="Z43" s="138">
        <f t="shared" si="37"/>
        <v>0.1397637795</v>
      </c>
      <c r="AA43" s="138">
        <f t="shared" si="37"/>
        <v>0.12</v>
      </c>
      <c r="AB43" s="138">
        <f t="shared" si="37"/>
        <v>0.12</v>
      </c>
      <c r="AC43" s="138">
        <f t="shared" si="37"/>
        <v>0.15</v>
      </c>
      <c r="AD43" s="138">
        <f t="shared" si="37"/>
        <v>0.1299435028</v>
      </c>
      <c r="AE43" s="138">
        <f t="shared" si="37"/>
        <v>0.1309297913</v>
      </c>
      <c r="AF43" s="139"/>
      <c r="AG43" s="139"/>
      <c r="AH43" s="139"/>
      <c r="AI43" s="139"/>
      <c r="AJ43" s="139"/>
      <c r="AK43" s="139"/>
      <c r="AL43" s="139"/>
      <c r="AM43" s="139"/>
      <c r="AN43" s="139"/>
      <c r="AO43" s="139"/>
      <c r="AP43" s="139"/>
      <c r="AQ43" s="139"/>
      <c r="AR43" s="139"/>
      <c r="AS43" s="139"/>
      <c r="AT43" s="139"/>
      <c r="AU43" s="139"/>
      <c r="AV43" s="139"/>
      <c r="AW43" s="139"/>
      <c r="AX43" s="139"/>
      <c r="AY43" s="139"/>
      <c r="AZ43" s="139"/>
      <c r="BA43" s="139"/>
      <c r="BB43" s="139"/>
      <c r="BC43" s="139"/>
      <c r="BD43" s="139"/>
      <c r="BE43" s="139"/>
      <c r="BF43" s="139"/>
      <c r="BG43" s="139"/>
      <c r="BH43" s="139"/>
      <c r="BI43" s="139"/>
      <c r="BJ43" s="109"/>
      <c r="BK43" s="109"/>
      <c r="BL43" s="109"/>
      <c r="BM43" s="109"/>
      <c r="BN43" s="109"/>
      <c r="BO43" s="109"/>
      <c r="BP43" s="109"/>
      <c r="BQ43" s="109"/>
      <c r="BR43" s="109"/>
      <c r="BS43" s="109"/>
      <c r="BT43" s="109"/>
      <c r="BU43" s="109"/>
      <c r="BV43" s="99"/>
    </row>
    <row r="44">
      <c r="A44" s="20"/>
      <c r="B44" s="20"/>
      <c r="C44" s="140" t="s">
        <v>66</v>
      </c>
      <c r="E44" s="141"/>
      <c r="F44" s="109"/>
      <c r="G44" s="142" t="s">
        <v>38</v>
      </c>
      <c r="H44" s="137">
        <f t="shared" ref="H44:L44" si="38">iferror(AVERAGEIFS($N44:$BI44,$N$19:$BI$19,H$19),0)</f>
        <v>0.4462524923</v>
      </c>
      <c r="I44" s="137">
        <f t="shared" si="38"/>
        <v>0.4531822007</v>
      </c>
      <c r="J44" s="137">
        <f t="shared" si="38"/>
        <v>0</v>
      </c>
      <c r="K44" s="137">
        <f t="shared" si="38"/>
        <v>0</v>
      </c>
      <c r="L44" s="137">
        <f t="shared" si="38"/>
        <v>0</v>
      </c>
      <c r="M44" s="20"/>
      <c r="N44" s="138">
        <f t="shared" ref="N44:AE44" si="39">N40/N39</f>
        <v>0.3606557377</v>
      </c>
      <c r="O44" s="138">
        <f t="shared" si="39"/>
        <v>0.3875</v>
      </c>
      <c r="P44" s="138">
        <f t="shared" si="39"/>
        <v>0.4558823529</v>
      </c>
      <c r="Q44" s="138">
        <f t="shared" si="39"/>
        <v>0.4590163934</v>
      </c>
      <c r="R44" s="138">
        <f t="shared" si="39"/>
        <v>0.3870967742</v>
      </c>
      <c r="S44" s="138">
        <f t="shared" si="39"/>
        <v>0.5394736842</v>
      </c>
      <c r="T44" s="138">
        <f t="shared" si="39"/>
        <v>0.5285714286</v>
      </c>
      <c r="U44" s="138">
        <f t="shared" si="39"/>
        <v>0.4714285714</v>
      </c>
      <c r="V44" s="138">
        <f t="shared" si="39"/>
        <v>0.462962963</v>
      </c>
      <c r="W44" s="138">
        <f t="shared" si="39"/>
        <v>0.5142857143</v>
      </c>
      <c r="X44" s="138">
        <f t="shared" si="39"/>
        <v>0.3650793651</v>
      </c>
      <c r="Y44" s="138">
        <f t="shared" si="39"/>
        <v>0.4230769231</v>
      </c>
      <c r="Z44" s="138">
        <f t="shared" si="39"/>
        <v>0.4647887324</v>
      </c>
      <c r="AA44" s="138">
        <f t="shared" si="39"/>
        <v>0.5</v>
      </c>
      <c r="AB44" s="138">
        <f t="shared" si="39"/>
        <v>0.3518518519</v>
      </c>
      <c r="AC44" s="138">
        <f t="shared" si="39"/>
        <v>0.358974359</v>
      </c>
      <c r="AD44" s="138">
        <f t="shared" si="39"/>
        <v>0.5507246377</v>
      </c>
      <c r="AE44" s="138">
        <f t="shared" si="39"/>
        <v>0.4927536232</v>
      </c>
      <c r="AF44" s="139"/>
      <c r="AG44" s="139"/>
      <c r="AH44" s="139"/>
      <c r="AI44" s="139"/>
      <c r="AJ44" s="139"/>
      <c r="AK44" s="139"/>
      <c r="AL44" s="139"/>
      <c r="AM44" s="139"/>
      <c r="AN44" s="139"/>
      <c r="AO44" s="139"/>
      <c r="AP44" s="139"/>
      <c r="AQ44" s="139"/>
      <c r="AR44" s="139"/>
      <c r="AS44" s="139"/>
      <c r="AT44" s="139"/>
      <c r="AU44" s="139"/>
      <c r="AV44" s="139"/>
      <c r="AW44" s="139"/>
      <c r="AX44" s="139"/>
      <c r="AY44" s="139"/>
      <c r="AZ44" s="139"/>
      <c r="BA44" s="139"/>
      <c r="BB44" s="139"/>
      <c r="BC44" s="139"/>
      <c r="BD44" s="139"/>
      <c r="BE44" s="139"/>
      <c r="BF44" s="139"/>
      <c r="BG44" s="139"/>
      <c r="BH44" s="139"/>
      <c r="BI44" s="139"/>
      <c r="BJ44" s="109"/>
      <c r="BK44" s="109"/>
      <c r="BL44" s="109"/>
      <c r="BM44" s="109"/>
      <c r="BN44" s="109"/>
      <c r="BO44" s="109"/>
      <c r="BP44" s="109"/>
      <c r="BQ44" s="109"/>
      <c r="BR44" s="109"/>
      <c r="BS44" s="109"/>
      <c r="BT44" s="109"/>
      <c r="BU44" s="109"/>
      <c r="BV44" s="99"/>
    </row>
    <row r="45">
      <c r="A45" s="20"/>
      <c r="B45" s="20"/>
      <c r="C45" s="110" t="s">
        <v>67</v>
      </c>
      <c r="D45" s="134"/>
      <c r="E45" s="135"/>
      <c r="F45" s="136"/>
      <c r="G45" s="106" t="s">
        <v>38</v>
      </c>
      <c r="H45" s="137">
        <f t="shared" ref="H45:L45" si="40">iferror(AVERAGEIFS($N45:$BI45,$N$19:$BI$19,H$19),0)</f>
        <v>0.7080052706</v>
      </c>
      <c r="I45" s="137">
        <f t="shared" si="40"/>
        <v>0.7047691396</v>
      </c>
      <c r="J45" s="137">
        <f t="shared" si="40"/>
        <v>0</v>
      </c>
      <c r="K45" s="137">
        <f t="shared" si="40"/>
        <v>0</v>
      </c>
      <c r="L45" s="137">
        <f t="shared" si="40"/>
        <v>0</v>
      </c>
      <c r="M45" s="20"/>
      <c r="N45" s="138">
        <f t="shared" ref="N45:AE45" si="41">N41/N40</f>
        <v>0.7272727273</v>
      </c>
      <c r="O45" s="138">
        <f t="shared" si="41"/>
        <v>0.6774193548</v>
      </c>
      <c r="P45" s="138">
        <f t="shared" si="41"/>
        <v>0.7419354839</v>
      </c>
      <c r="Q45" s="138">
        <f t="shared" si="41"/>
        <v>0.6785714286</v>
      </c>
      <c r="R45" s="138">
        <f t="shared" si="41"/>
        <v>0.75</v>
      </c>
      <c r="S45" s="138">
        <f t="shared" si="41"/>
        <v>0.6829268293</v>
      </c>
      <c r="T45" s="138">
        <f t="shared" si="41"/>
        <v>0.6756756757</v>
      </c>
      <c r="U45" s="138">
        <f t="shared" si="41"/>
        <v>0.696969697</v>
      </c>
      <c r="V45" s="138">
        <f t="shared" si="41"/>
        <v>0.76</v>
      </c>
      <c r="W45" s="138">
        <f t="shared" si="41"/>
        <v>0.6388888889</v>
      </c>
      <c r="X45" s="138">
        <f t="shared" si="41"/>
        <v>0.7391304348</v>
      </c>
      <c r="Y45" s="138">
        <f t="shared" si="41"/>
        <v>0.7272727273</v>
      </c>
      <c r="Z45" s="138">
        <f t="shared" si="41"/>
        <v>0.6666666667</v>
      </c>
      <c r="AA45" s="138">
        <f t="shared" si="41"/>
        <v>0.7407407407</v>
      </c>
      <c r="AB45" s="138">
        <f t="shared" si="41"/>
        <v>0.6842105263</v>
      </c>
      <c r="AC45" s="138">
        <f t="shared" si="41"/>
        <v>0.75</v>
      </c>
      <c r="AD45" s="138">
        <f t="shared" si="41"/>
        <v>0.7105263158</v>
      </c>
      <c r="AE45" s="138">
        <f t="shared" si="41"/>
        <v>0.6764705882</v>
      </c>
      <c r="AF45" s="139"/>
      <c r="AG45" s="139"/>
      <c r="AH45" s="139"/>
      <c r="AI45" s="139"/>
      <c r="AJ45" s="139"/>
      <c r="AK45" s="139"/>
      <c r="AL45" s="139"/>
      <c r="AM45" s="139"/>
      <c r="AN45" s="139"/>
      <c r="AO45" s="139"/>
      <c r="AP45" s="139"/>
      <c r="AQ45" s="139"/>
      <c r="AR45" s="139"/>
      <c r="AS45" s="139"/>
      <c r="AT45" s="139"/>
      <c r="AU45" s="139"/>
      <c r="AV45" s="139"/>
      <c r="AW45" s="139"/>
      <c r="AX45" s="139"/>
      <c r="AY45" s="139"/>
      <c r="AZ45" s="139"/>
      <c r="BA45" s="139"/>
      <c r="BB45" s="139"/>
      <c r="BC45" s="139"/>
      <c r="BD45" s="139"/>
      <c r="BE45" s="139"/>
      <c r="BF45" s="139"/>
      <c r="BG45" s="139"/>
      <c r="BH45" s="139"/>
      <c r="BI45" s="139"/>
      <c r="BJ45" s="109"/>
      <c r="BK45" s="109"/>
      <c r="BL45" s="109"/>
      <c r="BM45" s="109"/>
      <c r="BN45" s="109"/>
      <c r="BO45" s="109"/>
      <c r="BP45" s="109"/>
      <c r="BQ45" s="109"/>
      <c r="BR45" s="109"/>
      <c r="BS45" s="109"/>
      <c r="BT45" s="109"/>
      <c r="BU45" s="109"/>
      <c r="BV45" s="99"/>
    </row>
    <row r="46">
      <c r="A46" s="20"/>
      <c r="B46" s="20"/>
      <c r="C46" s="109"/>
      <c r="D46" s="109"/>
      <c r="E46" s="109"/>
      <c r="F46" s="109"/>
      <c r="G46" s="109"/>
      <c r="H46" s="109"/>
      <c r="I46" s="109"/>
      <c r="J46" s="109"/>
      <c r="K46" s="109"/>
      <c r="L46" s="109"/>
      <c r="M46" s="20"/>
      <c r="N46" s="109"/>
      <c r="O46" s="109"/>
      <c r="P46" s="109"/>
      <c r="Q46" s="109"/>
      <c r="R46" s="109"/>
      <c r="S46" s="109"/>
      <c r="T46" s="109"/>
      <c r="U46" s="109"/>
      <c r="V46" s="109"/>
      <c r="W46" s="109"/>
      <c r="X46" s="109"/>
      <c r="Y46" s="109"/>
      <c r="Z46" s="109"/>
      <c r="AA46" s="109"/>
      <c r="AB46" s="109"/>
      <c r="AC46" s="109"/>
      <c r="AD46" s="109"/>
      <c r="AE46" s="109"/>
      <c r="AF46" s="109"/>
      <c r="AG46" s="109"/>
      <c r="AH46" s="109"/>
      <c r="AI46" s="109"/>
      <c r="AJ46" s="109"/>
      <c r="AK46" s="109"/>
      <c r="AL46" s="109"/>
      <c r="AM46" s="109"/>
      <c r="AN46" s="109"/>
      <c r="AO46" s="109"/>
      <c r="AP46" s="109"/>
      <c r="AQ46" s="109"/>
      <c r="AR46" s="109"/>
      <c r="AS46" s="109"/>
      <c r="AT46" s="109"/>
      <c r="AU46" s="109"/>
      <c r="AV46" s="109"/>
      <c r="AW46" s="109"/>
      <c r="AX46" s="109"/>
      <c r="AY46" s="109"/>
      <c r="AZ46" s="109"/>
      <c r="BA46" s="109"/>
      <c r="BB46" s="109"/>
      <c r="BC46" s="109"/>
      <c r="BD46" s="109"/>
      <c r="BE46" s="109"/>
      <c r="BF46" s="109"/>
      <c r="BG46" s="109"/>
      <c r="BH46" s="109"/>
      <c r="BI46" s="109"/>
      <c r="BJ46" s="109"/>
      <c r="BK46" s="109"/>
      <c r="BL46" s="109"/>
      <c r="BM46" s="109"/>
      <c r="BN46" s="109"/>
      <c r="BO46" s="109"/>
      <c r="BP46" s="109"/>
      <c r="BQ46" s="109"/>
      <c r="BR46" s="109"/>
      <c r="BS46" s="109"/>
      <c r="BT46" s="109"/>
      <c r="BU46" s="109"/>
      <c r="BV46" s="99"/>
    </row>
    <row r="47">
      <c r="A47" s="20"/>
      <c r="B47" s="20"/>
      <c r="C47" s="109"/>
      <c r="D47" s="109"/>
      <c r="E47" s="109"/>
      <c r="F47" s="109"/>
      <c r="G47" s="109"/>
      <c r="H47" s="109"/>
      <c r="I47" s="109"/>
      <c r="J47" s="109"/>
      <c r="K47" s="109"/>
      <c r="L47" s="109"/>
      <c r="M47" s="20"/>
      <c r="N47" s="109"/>
      <c r="O47" s="109"/>
      <c r="P47" s="109"/>
      <c r="Q47" s="109"/>
      <c r="R47" s="109"/>
      <c r="S47" s="109"/>
      <c r="T47" s="109"/>
      <c r="U47" s="109"/>
      <c r="V47" s="109"/>
      <c r="W47" s="109"/>
      <c r="X47" s="109"/>
      <c r="Y47" s="109"/>
      <c r="Z47" s="109"/>
      <c r="AA47" s="109"/>
      <c r="AB47" s="109"/>
      <c r="AC47" s="109"/>
      <c r="AD47" s="109"/>
      <c r="AE47" s="109"/>
      <c r="AF47" s="109"/>
      <c r="AG47" s="109"/>
      <c r="AH47" s="109"/>
      <c r="AI47" s="109"/>
      <c r="AJ47" s="109"/>
      <c r="AK47" s="109"/>
      <c r="AL47" s="109"/>
      <c r="AM47" s="109"/>
      <c r="AN47" s="109"/>
      <c r="AO47" s="109"/>
      <c r="AP47" s="109"/>
      <c r="AQ47" s="109"/>
      <c r="AR47" s="109"/>
      <c r="AS47" s="109"/>
      <c r="AT47" s="109"/>
      <c r="AU47" s="109"/>
      <c r="AV47" s="109"/>
      <c r="AW47" s="109"/>
      <c r="AX47" s="109"/>
      <c r="AY47" s="109"/>
      <c r="AZ47" s="109"/>
      <c r="BA47" s="109"/>
      <c r="BB47" s="109"/>
      <c r="BC47" s="109"/>
      <c r="BD47" s="109"/>
      <c r="BE47" s="109"/>
      <c r="BF47" s="109"/>
      <c r="BG47" s="109"/>
      <c r="BH47" s="109"/>
      <c r="BI47" s="109"/>
      <c r="BJ47" s="109"/>
      <c r="BK47" s="109"/>
      <c r="BL47" s="109"/>
      <c r="BM47" s="109"/>
      <c r="BN47" s="109"/>
      <c r="BO47" s="109"/>
      <c r="BP47" s="109"/>
      <c r="BQ47" s="109"/>
      <c r="BR47" s="109"/>
      <c r="BS47" s="109"/>
      <c r="BT47" s="109"/>
      <c r="BU47" s="109"/>
      <c r="BV47" s="99"/>
    </row>
    <row r="48">
      <c r="A48" s="20"/>
      <c r="B48" s="20"/>
      <c r="C48" s="102" t="s">
        <v>68</v>
      </c>
      <c r="D48" s="103"/>
      <c r="E48" s="103"/>
      <c r="F48" s="103"/>
      <c r="G48" s="103"/>
      <c r="H48" s="103"/>
      <c r="I48" s="103"/>
      <c r="J48" s="103"/>
      <c r="K48" s="103"/>
      <c r="L48" s="103"/>
      <c r="M48" s="20"/>
      <c r="N48" s="103"/>
      <c r="O48" s="103"/>
      <c r="P48" s="103"/>
      <c r="Q48" s="103"/>
      <c r="R48" s="103"/>
      <c r="S48" s="103"/>
      <c r="T48" s="103"/>
      <c r="U48" s="103"/>
      <c r="V48" s="103"/>
      <c r="W48" s="103"/>
      <c r="X48" s="103"/>
      <c r="Y48" s="103"/>
      <c r="Z48" s="103"/>
      <c r="AA48" s="103"/>
      <c r="AB48" s="103"/>
      <c r="AC48" s="103"/>
      <c r="AD48" s="103"/>
      <c r="AE48" s="103"/>
      <c r="AF48" s="103"/>
      <c r="AG48" s="103"/>
      <c r="AH48" s="103"/>
      <c r="AI48" s="103"/>
      <c r="AJ48" s="103"/>
      <c r="AK48" s="103"/>
      <c r="AL48" s="103"/>
      <c r="AM48" s="103"/>
      <c r="AN48" s="103"/>
      <c r="AO48" s="103"/>
      <c r="AP48" s="103"/>
      <c r="AQ48" s="103"/>
      <c r="AR48" s="103"/>
      <c r="AS48" s="103"/>
      <c r="AT48" s="103"/>
      <c r="AU48" s="103"/>
      <c r="AV48" s="103"/>
      <c r="AW48" s="103"/>
      <c r="AX48" s="103"/>
      <c r="AY48" s="103"/>
      <c r="AZ48" s="103"/>
      <c r="BA48" s="103"/>
      <c r="BB48" s="103"/>
      <c r="BC48" s="103"/>
      <c r="BD48" s="103"/>
      <c r="BE48" s="103"/>
      <c r="BF48" s="103"/>
      <c r="BG48" s="103"/>
      <c r="BH48" s="103"/>
      <c r="BI48" s="103"/>
      <c r="BJ48" s="103"/>
      <c r="BK48" s="103"/>
      <c r="BL48" s="103"/>
      <c r="BM48" s="103"/>
      <c r="BN48" s="103"/>
      <c r="BO48" s="103"/>
      <c r="BP48" s="103"/>
      <c r="BQ48" s="103"/>
      <c r="BR48" s="103"/>
      <c r="BS48" s="103"/>
      <c r="BT48" s="103"/>
      <c r="BU48" s="103"/>
      <c r="BV48" s="99"/>
    </row>
    <row r="49">
      <c r="A49" s="20"/>
      <c r="B49" s="20"/>
      <c r="C49" s="110" t="s">
        <v>69</v>
      </c>
      <c r="D49" s="143"/>
      <c r="E49" s="144"/>
      <c r="F49" s="136"/>
      <c r="G49" s="106" t="s">
        <v>33</v>
      </c>
      <c r="H49" s="112">
        <f t="shared" ref="H49:L49" si="42">SUMIFS($N49:$BU49,$N$19:$BU$19,H$19)</f>
        <v>100</v>
      </c>
      <c r="I49" s="112">
        <f t="shared" si="42"/>
        <v>58</v>
      </c>
      <c r="J49" s="112">
        <f t="shared" si="42"/>
        <v>0</v>
      </c>
      <c r="K49" s="112">
        <f t="shared" si="42"/>
        <v>0</v>
      </c>
      <c r="L49" s="112">
        <f t="shared" si="42"/>
        <v>0</v>
      </c>
      <c r="M49" s="20"/>
      <c r="N49" s="145">
        <v>7.0</v>
      </c>
      <c r="O49" s="145">
        <v>11.0</v>
      </c>
      <c r="P49" s="145">
        <v>11.0</v>
      </c>
      <c r="Q49" s="145">
        <v>7.0</v>
      </c>
      <c r="R49" s="145">
        <v>5.0</v>
      </c>
      <c r="S49" s="145">
        <v>8.0</v>
      </c>
      <c r="T49" s="145">
        <v>6.0</v>
      </c>
      <c r="U49" s="145">
        <v>12.0</v>
      </c>
      <c r="V49" s="145">
        <v>10.0</v>
      </c>
      <c r="W49" s="145">
        <v>9.0</v>
      </c>
      <c r="X49" s="145">
        <v>8.0</v>
      </c>
      <c r="Y49" s="145">
        <v>6.0</v>
      </c>
      <c r="Z49" s="145">
        <v>12.0</v>
      </c>
      <c r="AA49" s="145">
        <v>6.0</v>
      </c>
      <c r="AB49" s="145">
        <v>9.0</v>
      </c>
      <c r="AC49" s="145">
        <v>10.0</v>
      </c>
      <c r="AD49" s="145">
        <v>10.0</v>
      </c>
      <c r="AE49" s="145">
        <v>11.0</v>
      </c>
      <c r="AF49" s="109"/>
      <c r="AG49" s="109"/>
      <c r="AH49" s="109"/>
      <c r="AI49" s="109"/>
      <c r="AJ49" s="109"/>
      <c r="AK49" s="109"/>
      <c r="AL49" s="109"/>
      <c r="AM49" s="109"/>
      <c r="AN49" s="109"/>
      <c r="AO49" s="109"/>
      <c r="AP49" s="109"/>
      <c r="AQ49" s="109"/>
      <c r="AR49" s="109"/>
      <c r="AS49" s="109"/>
      <c r="AT49" s="109"/>
      <c r="AU49" s="109"/>
      <c r="AV49" s="109"/>
      <c r="AW49" s="109"/>
      <c r="AX49" s="109"/>
      <c r="AY49" s="109"/>
      <c r="AZ49" s="109"/>
      <c r="BA49" s="109"/>
      <c r="BB49" s="109"/>
      <c r="BC49" s="109"/>
      <c r="BD49" s="109"/>
      <c r="BE49" s="109"/>
      <c r="BF49" s="109"/>
      <c r="BG49" s="109"/>
      <c r="BH49" s="109"/>
      <c r="BI49" s="109"/>
      <c r="BJ49" s="109"/>
      <c r="BK49" s="109"/>
      <c r="BL49" s="109"/>
      <c r="BM49" s="109"/>
      <c r="BN49" s="109"/>
      <c r="BO49" s="109"/>
      <c r="BP49" s="109"/>
      <c r="BQ49" s="109"/>
      <c r="BR49" s="109"/>
      <c r="BS49" s="109"/>
      <c r="BT49" s="109"/>
      <c r="BU49" s="109"/>
      <c r="BV49" s="99"/>
    </row>
    <row r="50">
      <c r="A50" s="20"/>
      <c r="B50" s="20"/>
      <c r="C50" s="110" t="s">
        <v>70</v>
      </c>
      <c r="D50" s="143"/>
      <c r="E50" s="110"/>
      <c r="F50" s="111"/>
      <c r="G50" s="106" t="s">
        <v>38</v>
      </c>
      <c r="H50" s="137">
        <f t="shared" ref="H50:L50" si="43">iferror(AVERAGEIFS($N50:$BI50,$N$19:$BI$19,H$19),0)</f>
        <v>0.01478569947</v>
      </c>
      <c r="I50" s="137">
        <f t="shared" si="43"/>
        <v>0.01433397614</v>
      </c>
      <c r="J50" s="137">
        <f t="shared" si="43"/>
        <v>0</v>
      </c>
      <c r="K50" s="137">
        <f t="shared" si="43"/>
        <v>0</v>
      </c>
      <c r="L50" s="137">
        <f t="shared" si="43"/>
        <v>0</v>
      </c>
      <c r="M50" s="20"/>
      <c r="N50" s="146">
        <f t="shared" ref="N50:AE50" si="44">N49/N29</f>
        <v>0.014</v>
      </c>
      <c r="O50" s="146">
        <f t="shared" si="44"/>
        <v>0.02161100196</v>
      </c>
      <c r="P50" s="146">
        <f t="shared" si="44"/>
        <v>0.02119460501</v>
      </c>
      <c r="Q50" s="146">
        <f t="shared" si="44"/>
        <v>0.0131826742</v>
      </c>
      <c r="R50" s="146">
        <f t="shared" si="44"/>
        <v>0.009208103131</v>
      </c>
      <c r="S50" s="146">
        <f t="shared" si="44"/>
        <v>0.01438848921</v>
      </c>
      <c r="T50" s="146">
        <f t="shared" si="44"/>
        <v>0.01041666667</v>
      </c>
      <c r="U50" s="146">
        <f t="shared" si="44"/>
        <v>0.02016806723</v>
      </c>
      <c r="V50" s="146">
        <f t="shared" si="44"/>
        <v>0.01650165017</v>
      </c>
      <c r="W50" s="146">
        <f t="shared" si="44"/>
        <v>0.01463414634</v>
      </c>
      <c r="X50" s="146">
        <f t="shared" si="44"/>
        <v>0.01271860095</v>
      </c>
      <c r="Y50" s="146">
        <f t="shared" si="44"/>
        <v>0.009404388715</v>
      </c>
      <c r="Z50" s="146">
        <f t="shared" si="44"/>
        <v>0.01851851852</v>
      </c>
      <c r="AA50" s="146">
        <f t="shared" si="44"/>
        <v>0.009118541033</v>
      </c>
      <c r="AB50" s="146">
        <f t="shared" si="44"/>
        <v>0.01339285714</v>
      </c>
      <c r="AC50" s="146">
        <f t="shared" si="44"/>
        <v>0.01479289941</v>
      </c>
      <c r="AD50" s="146">
        <f t="shared" si="44"/>
        <v>0.01455604076</v>
      </c>
      <c r="AE50" s="146">
        <f t="shared" si="44"/>
        <v>0.015625</v>
      </c>
      <c r="AF50" s="109"/>
      <c r="AG50" s="109"/>
      <c r="AH50" s="109"/>
      <c r="AI50" s="109"/>
      <c r="AJ50" s="109"/>
      <c r="AK50" s="109"/>
      <c r="AL50" s="109"/>
      <c r="AM50" s="109"/>
      <c r="AN50" s="109"/>
      <c r="AO50" s="109"/>
      <c r="AP50" s="109"/>
      <c r="AQ50" s="109"/>
      <c r="AR50" s="109"/>
      <c r="AS50" s="109"/>
      <c r="AT50" s="109"/>
      <c r="AU50" s="109"/>
      <c r="AV50" s="109"/>
      <c r="AW50" s="109"/>
      <c r="AX50" s="109"/>
      <c r="AY50" s="109"/>
      <c r="AZ50" s="109"/>
      <c r="BA50" s="109"/>
      <c r="BB50" s="109"/>
      <c r="BC50" s="109"/>
      <c r="BD50" s="109"/>
      <c r="BE50" s="109"/>
      <c r="BF50" s="109"/>
      <c r="BG50" s="109"/>
      <c r="BH50" s="109"/>
      <c r="BI50" s="109"/>
      <c r="BJ50" s="109"/>
      <c r="BK50" s="109"/>
      <c r="BL50" s="109"/>
      <c r="BM50" s="109"/>
      <c r="BN50" s="109"/>
      <c r="BO50" s="109"/>
      <c r="BP50" s="109"/>
      <c r="BQ50" s="109"/>
      <c r="BR50" s="109"/>
      <c r="BS50" s="109"/>
      <c r="BT50" s="109"/>
      <c r="BU50" s="109"/>
      <c r="BV50" s="99"/>
    </row>
    <row r="51">
      <c r="A51" s="20"/>
      <c r="B51" s="20"/>
      <c r="C51" s="109"/>
      <c r="D51" s="109"/>
      <c r="E51" s="109"/>
      <c r="F51" s="109"/>
      <c r="G51" s="109"/>
      <c r="H51" s="109"/>
      <c r="I51" s="109"/>
      <c r="J51" s="109"/>
      <c r="K51" s="109"/>
      <c r="L51" s="109"/>
      <c r="M51" s="20"/>
      <c r="N51" s="109"/>
      <c r="O51" s="109"/>
      <c r="P51" s="109"/>
      <c r="Q51" s="109"/>
      <c r="R51" s="109"/>
      <c r="S51" s="109"/>
      <c r="T51" s="109"/>
      <c r="U51" s="109"/>
      <c r="V51" s="109"/>
      <c r="W51" s="109"/>
      <c r="X51" s="109"/>
      <c r="Y51" s="109"/>
      <c r="Z51" s="109"/>
      <c r="AA51" s="109"/>
      <c r="AB51" s="109"/>
      <c r="AC51" s="109"/>
      <c r="AD51" s="109"/>
      <c r="AE51" s="109"/>
      <c r="AF51" s="109"/>
      <c r="AG51" s="109"/>
      <c r="AH51" s="109"/>
      <c r="AI51" s="109"/>
      <c r="AJ51" s="109"/>
      <c r="AK51" s="109"/>
      <c r="AL51" s="109"/>
      <c r="AM51" s="109"/>
      <c r="AN51" s="109"/>
      <c r="AO51" s="109"/>
      <c r="AP51" s="109"/>
      <c r="AQ51" s="109"/>
      <c r="AR51" s="109"/>
      <c r="AS51" s="109"/>
      <c r="AT51" s="109"/>
      <c r="AU51" s="109"/>
      <c r="AV51" s="109"/>
      <c r="AW51" s="109"/>
      <c r="AX51" s="109"/>
      <c r="AY51" s="109"/>
      <c r="AZ51" s="109"/>
      <c r="BA51" s="109"/>
      <c r="BB51" s="109"/>
      <c r="BC51" s="109"/>
      <c r="BD51" s="109"/>
      <c r="BE51" s="109"/>
      <c r="BF51" s="109"/>
      <c r="BG51" s="109"/>
      <c r="BH51" s="109"/>
      <c r="BI51" s="109"/>
      <c r="BJ51" s="109"/>
      <c r="BK51" s="109"/>
      <c r="BL51" s="109"/>
      <c r="BM51" s="109"/>
      <c r="BN51" s="109"/>
      <c r="BO51" s="109"/>
      <c r="BP51" s="109"/>
      <c r="BQ51" s="109"/>
      <c r="BR51" s="109"/>
      <c r="BS51" s="109"/>
      <c r="BT51" s="109"/>
      <c r="BU51" s="109"/>
      <c r="BV51" s="99"/>
    </row>
    <row r="52">
      <c r="A52" s="20"/>
      <c r="B52" s="20"/>
      <c r="C52" s="109"/>
      <c r="D52" s="109"/>
      <c r="E52" s="109"/>
      <c r="F52" s="109"/>
      <c r="G52" s="109"/>
      <c r="H52" s="109"/>
      <c r="I52" s="109"/>
      <c r="J52" s="109"/>
      <c r="K52" s="109"/>
      <c r="L52" s="109"/>
      <c r="M52" s="20"/>
      <c r="N52" s="109"/>
      <c r="O52" s="109"/>
      <c r="P52" s="109"/>
      <c r="Q52" s="109"/>
      <c r="R52" s="109"/>
      <c r="S52" s="109"/>
      <c r="T52" s="109"/>
      <c r="U52" s="109"/>
      <c r="V52" s="109"/>
      <c r="W52" s="109"/>
      <c r="X52" s="109"/>
      <c r="Y52" s="109"/>
      <c r="Z52" s="109"/>
      <c r="AA52" s="109"/>
      <c r="AB52" s="109"/>
      <c r="AC52" s="109"/>
      <c r="AD52" s="109"/>
      <c r="AE52" s="109"/>
      <c r="AF52" s="109"/>
      <c r="AG52" s="109"/>
      <c r="AH52" s="109"/>
      <c r="AI52" s="109"/>
      <c r="AJ52" s="109"/>
      <c r="AK52" s="109"/>
      <c r="AL52" s="109"/>
      <c r="AM52" s="109"/>
      <c r="AN52" s="109"/>
      <c r="AO52" s="109"/>
      <c r="AP52" s="109"/>
      <c r="AQ52" s="109"/>
      <c r="AR52" s="109"/>
      <c r="AS52" s="109"/>
      <c r="AT52" s="109"/>
      <c r="AU52" s="109"/>
      <c r="AV52" s="109"/>
      <c r="AW52" s="109"/>
      <c r="AX52" s="109"/>
      <c r="AY52" s="109"/>
      <c r="AZ52" s="109"/>
      <c r="BA52" s="109"/>
      <c r="BB52" s="109"/>
      <c r="BC52" s="109"/>
      <c r="BD52" s="109"/>
      <c r="BE52" s="109"/>
      <c r="BF52" s="109"/>
      <c r="BG52" s="109"/>
      <c r="BH52" s="109"/>
      <c r="BI52" s="109"/>
      <c r="BJ52" s="109"/>
      <c r="BK52" s="109"/>
      <c r="BL52" s="109"/>
      <c r="BM52" s="109"/>
      <c r="BN52" s="109"/>
      <c r="BO52" s="109"/>
      <c r="BP52" s="109"/>
      <c r="BQ52" s="109"/>
      <c r="BR52" s="109"/>
      <c r="BS52" s="109"/>
      <c r="BT52" s="109"/>
      <c r="BU52" s="109"/>
      <c r="BV52" s="99"/>
    </row>
    <row r="53">
      <c r="A53" s="20"/>
      <c r="B53" s="20"/>
      <c r="C53" s="102" t="s">
        <v>71</v>
      </c>
      <c r="D53" s="103"/>
      <c r="E53" s="103"/>
      <c r="F53" s="103"/>
      <c r="G53" s="103"/>
      <c r="H53" s="103"/>
      <c r="I53" s="103"/>
      <c r="J53" s="103"/>
      <c r="K53" s="103"/>
      <c r="L53" s="103"/>
      <c r="M53" s="20"/>
      <c r="N53" s="103"/>
      <c r="O53" s="103"/>
      <c r="P53" s="103"/>
      <c r="Q53" s="103"/>
      <c r="R53" s="103"/>
      <c r="S53" s="103"/>
      <c r="T53" s="103"/>
      <c r="U53" s="103"/>
      <c r="V53" s="103"/>
      <c r="W53" s="103"/>
      <c r="X53" s="103"/>
      <c r="Y53" s="103"/>
      <c r="Z53" s="103"/>
      <c r="AA53" s="103"/>
      <c r="AB53" s="103"/>
      <c r="AC53" s="103"/>
      <c r="AD53" s="103"/>
      <c r="AE53" s="103"/>
      <c r="AF53" s="103"/>
      <c r="AG53" s="103"/>
      <c r="AH53" s="103"/>
      <c r="AI53" s="103"/>
      <c r="AJ53" s="103"/>
      <c r="AK53" s="103"/>
      <c r="AL53" s="103"/>
      <c r="AM53" s="103"/>
      <c r="AN53" s="103"/>
      <c r="AO53" s="103"/>
      <c r="AP53" s="103"/>
      <c r="AQ53" s="103"/>
      <c r="AR53" s="103"/>
      <c r="AS53" s="103"/>
      <c r="AT53" s="103"/>
      <c r="AU53" s="103"/>
      <c r="AV53" s="103"/>
      <c r="AW53" s="103"/>
      <c r="AX53" s="103"/>
      <c r="AY53" s="103"/>
      <c r="AZ53" s="103"/>
      <c r="BA53" s="103"/>
      <c r="BB53" s="103"/>
      <c r="BC53" s="103"/>
      <c r="BD53" s="103"/>
      <c r="BE53" s="103"/>
      <c r="BF53" s="103"/>
      <c r="BG53" s="103"/>
      <c r="BH53" s="103"/>
      <c r="BI53" s="103"/>
      <c r="BJ53" s="103"/>
      <c r="BK53" s="103"/>
      <c r="BL53" s="103"/>
      <c r="BM53" s="103"/>
      <c r="BN53" s="103"/>
      <c r="BO53" s="103"/>
      <c r="BP53" s="103"/>
      <c r="BQ53" s="103"/>
      <c r="BR53" s="103"/>
      <c r="BS53" s="103"/>
      <c r="BT53" s="103"/>
      <c r="BU53" s="103"/>
      <c r="BV53" s="99"/>
    </row>
    <row r="54">
      <c r="A54" s="20"/>
      <c r="B54" s="20"/>
      <c r="C54" s="104" t="s">
        <v>72</v>
      </c>
      <c r="D54" s="147"/>
      <c r="E54" s="148"/>
      <c r="F54" s="149"/>
      <c r="G54" s="150" t="s">
        <v>40</v>
      </c>
      <c r="H54" s="107">
        <f t="shared" ref="H54:L54" si="45">SUMIFS($N54:$BU54,$N$19:$BU$19,H$19)</f>
        <v>13273.974</v>
      </c>
      <c r="I54" s="107">
        <f t="shared" si="45"/>
        <v>7487.80475</v>
      </c>
      <c r="J54" s="107">
        <f t="shared" si="45"/>
        <v>0</v>
      </c>
      <c r="K54" s="107">
        <f t="shared" si="45"/>
        <v>0</v>
      </c>
      <c r="L54" s="107">
        <f t="shared" si="45"/>
        <v>0</v>
      </c>
      <c r="M54" s="20"/>
      <c r="N54" s="151">
        <v>997.5031666666666</v>
      </c>
      <c r="O54" s="151">
        <v>1019.9178333333334</v>
      </c>
      <c r="P54" s="151">
        <v>1043.3004166666667</v>
      </c>
      <c r="Q54" s="151">
        <v>1059.1199166666668</v>
      </c>
      <c r="R54" s="151">
        <v>1074.47825</v>
      </c>
      <c r="S54" s="151">
        <v>1102.9110833333332</v>
      </c>
      <c r="T54" s="151">
        <v>1139.7489166666667</v>
      </c>
      <c r="U54" s="151">
        <v>1162.8911666666668</v>
      </c>
      <c r="V54" s="151">
        <v>1158.3469166666669</v>
      </c>
      <c r="W54" s="151">
        <v>1167.8844166666668</v>
      </c>
      <c r="X54" s="151">
        <v>1167.0779166666669</v>
      </c>
      <c r="Y54" s="151">
        <v>1180.794</v>
      </c>
      <c r="Z54" s="151">
        <v>1207.7078333333332</v>
      </c>
      <c r="AA54" s="151">
        <v>1238.7051666666669</v>
      </c>
      <c r="AB54" s="151">
        <v>1239.4029166666667</v>
      </c>
      <c r="AC54" s="151">
        <v>1255.1651666666667</v>
      </c>
      <c r="AD54" s="151">
        <v>1271.9271666666668</v>
      </c>
      <c r="AE54" s="151">
        <v>1274.8965</v>
      </c>
      <c r="AF54" s="152"/>
      <c r="AG54" s="152"/>
      <c r="AH54" s="152"/>
      <c r="AI54" s="152"/>
      <c r="AJ54" s="152"/>
      <c r="AK54" s="152"/>
      <c r="AL54" s="152"/>
      <c r="AM54" s="152"/>
      <c r="AN54" s="152"/>
      <c r="AO54" s="152"/>
      <c r="AP54" s="152"/>
      <c r="AQ54" s="152"/>
      <c r="AR54" s="152"/>
      <c r="AS54" s="152"/>
      <c r="AT54" s="152"/>
      <c r="AU54" s="152"/>
      <c r="AV54" s="152"/>
      <c r="AW54" s="152"/>
      <c r="AX54" s="152"/>
      <c r="AY54" s="152"/>
      <c r="AZ54" s="152"/>
      <c r="BA54" s="152"/>
      <c r="BB54" s="152"/>
      <c r="BC54" s="152"/>
      <c r="BD54" s="152"/>
      <c r="BE54" s="152"/>
      <c r="BF54" s="152"/>
      <c r="BG54" s="152"/>
      <c r="BH54" s="152"/>
      <c r="BI54" s="152"/>
      <c r="BJ54" s="152"/>
      <c r="BK54" s="152"/>
      <c r="BL54" s="152"/>
      <c r="BM54" s="152"/>
      <c r="BN54" s="152"/>
      <c r="BO54" s="152"/>
      <c r="BP54" s="152"/>
      <c r="BQ54" s="152"/>
      <c r="BR54" s="152"/>
      <c r="BS54" s="152"/>
      <c r="BT54" s="152"/>
      <c r="BU54" s="152"/>
      <c r="BV54" s="99"/>
    </row>
    <row r="55">
      <c r="A55" s="153"/>
      <c r="B55" s="153"/>
      <c r="C55" s="154" t="s">
        <v>73</v>
      </c>
      <c r="D55" s="155"/>
      <c r="E55" s="155"/>
      <c r="F55" s="155"/>
      <c r="G55" s="156" t="s">
        <v>38</v>
      </c>
      <c r="H55" s="157">
        <f t="shared" ref="H55:L55" si="46">IFERROR(H54/G54-1,0)</f>
        <v>0</v>
      </c>
      <c r="I55" s="157">
        <f t="shared" si="46"/>
        <v>-0.4359033135</v>
      </c>
      <c r="J55" s="157">
        <f t="shared" si="46"/>
        <v>-1</v>
      </c>
      <c r="K55" s="157">
        <f t="shared" si="46"/>
        <v>0</v>
      </c>
      <c r="L55" s="157">
        <f t="shared" si="46"/>
        <v>0</v>
      </c>
      <c r="M55" s="158"/>
      <c r="N55" s="157">
        <f t="shared" ref="N55:AE55" si="47">IFERROR(N54/M54-1,0)</f>
        <v>0</v>
      </c>
      <c r="O55" s="157">
        <f t="shared" si="47"/>
        <v>0.02247077244</v>
      </c>
      <c r="P55" s="157">
        <f t="shared" si="47"/>
        <v>0.02292594812</v>
      </c>
      <c r="Q55" s="157">
        <f t="shared" si="47"/>
        <v>0.01516293845</v>
      </c>
      <c r="R55" s="157">
        <f t="shared" si="47"/>
        <v>0.01450103344</v>
      </c>
      <c r="S55" s="157">
        <f t="shared" si="47"/>
        <v>0.02646199058</v>
      </c>
      <c r="T55" s="157">
        <f t="shared" si="47"/>
        <v>0.03340054687</v>
      </c>
      <c r="U55" s="157">
        <f t="shared" si="47"/>
        <v>0.02030469138</v>
      </c>
      <c r="V55" s="157">
        <f t="shared" si="47"/>
        <v>-0.00390771736</v>
      </c>
      <c r="W55" s="157">
        <f t="shared" si="47"/>
        <v>0.008233716396</v>
      </c>
      <c r="X55" s="157">
        <f t="shared" si="47"/>
        <v>-0.0006905649125</v>
      </c>
      <c r="Y55" s="157">
        <f t="shared" si="47"/>
        <v>0.0117525001</v>
      </c>
      <c r="Z55" s="157">
        <f t="shared" si="47"/>
        <v>0.02279299635</v>
      </c>
      <c r="AA55" s="157">
        <f t="shared" si="47"/>
        <v>0.02566625179</v>
      </c>
      <c r="AB55" s="157">
        <f t="shared" si="47"/>
        <v>0.0005632898116</v>
      </c>
      <c r="AC55" s="157">
        <f t="shared" si="47"/>
        <v>0.01271761571</v>
      </c>
      <c r="AD55" s="157">
        <f t="shared" si="47"/>
        <v>0.01335441777</v>
      </c>
      <c r="AE55" s="157">
        <f t="shared" si="47"/>
        <v>0.002334515223</v>
      </c>
      <c r="AF55" s="157"/>
      <c r="AG55" s="157"/>
      <c r="AH55" s="157"/>
      <c r="AI55" s="157"/>
      <c r="AJ55" s="157"/>
      <c r="AK55" s="157"/>
      <c r="AL55" s="157"/>
      <c r="AM55" s="157"/>
      <c r="AN55" s="157"/>
      <c r="AO55" s="157"/>
      <c r="AP55" s="157"/>
      <c r="AQ55" s="157"/>
      <c r="AR55" s="157"/>
      <c r="AS55" s="157"/>
      <c r="AT55" s="157"/>
      <c r="AU55" s="157"/>
      <c r="AV55" s="157"/>
      <c r="AW55" s="157"/>
      <c r="AX55" s="157"/>
      <c r="AY55" s="157"/>
      <c r="AZ55" s="157"/>
      <c r="BA55" s="157"/>
      <c r="BB55" s="157"/>
      <c r="BC55" s="157"/>
      <c r="BD55" s="157"/>
      <c r="BE55" s="157"/>
      <c r="BF55" s="157"/>
      <c r="BG55" s="157"/>
      <c r="BH55" s="157"/>
      <c r="BI55" s="157"/>
      <c r="BJ55" s="157"/>
      <c r="BK55" s="157"/>
      <c r="BL55" s="157"/>
      <c r="BM55" s="157"/>
      <c r="BN55" s="157"/>
      <c r="BO55" s="157"/>
      <c r="BP55" s="157"/>
      <c r="BQ55" s="157"/>
      <c r="BR55" s="157"/>
      <c r="BS55" s="157"/>
      <c r="BT55" s="157"/>
      <c r="BU55" s="157"/>
      <c r="BV55" s="159"/>
    </row>
    <row r="56">
      <c r="A56" s="20"/>
      <c r="B56" s="20"/>
      <c r="C56" s="140"/>
      <c r="D56" s="109"/>
      <c r="E56" s="109"/>
      <c r="F56" s="109"/>
      <c r="G56" s="141"/>
      <c r="H56" s="152"/>
      <c r="I56" s="152"/>
      <c r="J56" s="152"/>
      <c r="K56" s="152"/>
      <c r="L56" s="152"/>
      <c r="M56" s="20"/>
      <c r="N56" s="160"/>
      <c r="O56" s="160"/>
      <c r="P56" s="160"/>
      <c r="Q56" s="160"/>
      <c r="R56" s="160"/>
      <c r="S56" s="160"/>
      <c r="T56" s="160"/>
      <c r="U56" s="160"/>
      <c r="V56" s="160"/>
      <c r="W56" s="160"/>
      <c r="X56" s="160"/>
      <c r="Y56" s="160"/>
      <c r="Z56" s="160"/>
      <c r="AA56" s="160"/>
      <c r="AB56" s="160"/>
      <c r="AC56" s="160"/>
      <c r="AD56" s="160"/>
      <c r="AE56" s="160"/>
      <c r="AF56" s="152"/>
      <c r="AG56" s="152"/>
      <c r="AH56" s="152"/>
      <c r="AI56" s="152"/>
      <c r="AJ56" s="152"/>
      <c r="AK56" s="152"/>
      <c r="AL56" s="152"/>
      <c r="AM56" s="152"/>
      <c r="AN56" s="152"/>
      <c r="AO56" s="152"/>
      <c r="AP56" s="152"/>
      <c r="AQ56" s="152"/>
      <c r="AR56" s="152"/>
      <c r="AS56" s="152"/>
      <c r="AT56" s="152"/>
      <c r="AU56" s="152"/>
      <c r="AV56" s="152"/>
      <c r="AW56" s="152"/>
      <c r="AX56" s="152"/>
      <c r="AY56" s="152"/>
      <c r="AZ56" s="152"/>
      <c r="BA56" s="152"/>
      <c r="BB56" s="152"/>
      <c r="BC56" s="152"/>
      <c r="BD56" s="152"/>
      <c r="BE56" s="152"/>
      <c r="BF56" s="152"/>
      <c r="BG56" s="152"/>
      <c r="BH56" s="152"/>
      <c r="BI56" s="152"/>
      <c r="BJ56" s="152"/>
      <c r="BK56" s="152"/>
      <c r="BL56" s="152"/>
      <c r="BM56" s="152"/>
      <c r="BN56" s="152"/>
      <c r="BO56" s="152"/>
      <c r="BP56" s="152"/>
      <c r="BQ56" s="152"/>
      <c r="BR56" s="152"/>
      <c r="BS56" s="152"/>
      <c r="BT56" s="152"/>
      <c r="BU56" s="152"/>
      <c r="BV56" s="99"/>
    </row>
    <row r="57">
      <c r="A57" s="20"/>
      <c r="B57" s="20"/>
      <c r="C57" s="113" t="s">
        <v>74</v>
      </c>
      <c r="D57" s="161"/>
      <c r="E57" s="162"/>
      <c r="F57" s="163"/>
      <c r="G57" s="164" t="s">
        <v>40</v>
      </c>
      <c r="H57" s="165">
        <f t="shared" ref="H57:L57" si="48">SUMIFS($N57:$BU57,$N$19:$BU$19,H$19)</f>
        <v>-2654.7948</v>
      </c>
      <c r="I57" s="166">
        <f t="shared" si="48"/>
        <v>-1497.56095</v>
      </c>
      <c r="J57" s="166">
        <f t="shared" si="48"/>
        <v>0</v>
      </c>
      <c r="K57" s="166">
        <f t="shared" si="48"/>
        <v>0</v>
      </c>
      <c r="L57" s="167">
        <f t="shared" si="48"/>
        <v>0</v>
      </c>
      <c r="M57" s="20"/>
      <c r="N57" s="160">
        <v>-199.50063333333333</v>
      </c>
      <c r="O57" s="160">
        <v>-203.98356666666666</v>
      </c>
      <c r="P57" s="160">
        <v>-208.66008333333332</v>
      </c>
      <c r="Q57" s="160">
        <v>-211.82398333333333</v>
      </c>
      <c r="R57" s="160">
        <v>-214.89564999999993</v>
      </c>
      <c r="S57" s="160">
        <v>-220.58221666666657</v>
      </c>
      <c r="T57" s="160">
        <v>-227.94978333333324</v>
      </c>
      <c r="U57" s="160">
        <v>-232.5782333333333</v>
      </c>
      <c r="V57" s="160">
        <v>-231.66938333333337</v>
      </c>
      <c r="W57" s="160">
        <v>-233.57688333333329</v>
      </c>
      <c r="X57" s="160">
        <v>-233.4155833333333</v>
      </c>
      <c r="Y57" s="160">
        <v>-236.15879999999993</v>
      </c>
      <c r="Z57" s="160">
        <v>-241.54156666666654</v>
      </c>
      <c r="AA57" s="160">
        <v>-247.74103333333335</v>
      </c>
      <c r="AB57" s="160">
        <v>-247.88058333333333</v>
      </c>
      <c r="AC57" s="160">
        <v>-251.03303333333326</v>
      </c>
      <c r="AD57" s="160">
        <v>-254.38543333333337</v>
      </c>
      <c r="AE57" s="160">
        <v>-254.97929999999997</v>
      </c>
      <c r="AF57" s="152"/>
      <c r="AG57" s="152"/>
      <c r="AH57" s="152"/>
      <c r="AI57" s="152"/>
      <c r="AJ57" s="152"/>
      <c r="AK57" s="152"/>
      <c r="AL57" s="152"/>
      <c r="AM57" s="152"/>
      <c r="AN57" s="152"/>
      <c r="AO57" s="152"/>
      <c r="AP57" s="152"/>
      <c r="AQ57" s="152"/>
      <c r="AR57" s="152"/>
      <c r="AS57" s="152"/>
      <c r="AT57" s="152"/>
      <c r="AU57" s="152"/>
      <c r="AV57" s="152"/>
      <c r="AW57" s="152"/>
      <c r="AX57" s="152"/>
      <c r="AY57" s="152"/>
      <c r="AZ57" s="152"/>
      <c r="BA57" s="152"/>
      <c r="BB57" s="152"/>
      <c r="BC57" s="152"/>
      <c r="BD57" s="152"/>
      <c r="BE57" s="152"/>
      <c r="BF57" s="152"/>
      <c r="BG57" s="152"/>
      <c r="BH57" s="152"/>
      <c r="BI57" s="152"/>
      <c r="BJ57" s="152"/>
      <c r="BK57" s="152"/>
      <c r="BL57" s="152"/>
      <c r="BM57" s="152"/>
      <c r="BN57" s="152"/>
      <c r="BO57" s="152"/>
      <c r="BP57" s="152"/>
      <c r="BQ57" s="152"/>
      <c r="BR57" s="152"/>
      <c r="BS57" s="152"/>
      <c r="BT57" s="152"/>
      <c r="BU57" s="152"/>
      <c r="BV57" s="99"/>
    </row>
    <row r="58">
      <c r="A58" s="20"/>
      <c r="B58" s="20"/>
      <c r="C58" s="168" t="s">
        <v>75</v>
      </c>
      <c r="D58" s="169"/>
      <c r="E58" s="169"/>
      <c r="F58" s="169"/>
      <c r="G58" s="170" t="s">
        <v>40</v>
      </c>
      <c r="H58" s="171">
        <f t="shared" ref="H58:L58" si="49">H54+H57</f>
        <v>10619.1792</v>
      </c>
      <c r="I58" s="171">
        <f t="shared" si="49"/>
        <v>5990.2438</v>
      </c>
      <c r="J58" s="171">
        <f t="shared" si="49"/>
        <v>0</v>
      </c>
      <c r="K58" s="171">
        <f t="shared" si="49"/>
        <v>0</v>
      </c>
      <c r="L58" s="171">
        <f t="shared" si="49"/>
        <v>0</v>
      </c>
      <c r="M58" s="20"/>
      <c r="N58" s="172">
        <f t="shared" ref="N58:BU58" si="50">N54+N57</f>
        <v>798.0025333</v>
      </c>
      <c r="O58" s="172">
        <f t="shared" si="50"/>
        <v>815.9342667</v>
      </c>
      <c r="P58" s="172">
        <f t="shared" si="50"/>
        <v>834.6403333</v>
      </c>
      <c r="Q58" s="172">
        <f t="shared" si="50"/>
        <v>847.2959333</v>
      </c>
      <c r="R58" s="172">
        <f t="shared" si="50"/>
        <v>859.5826</v>
      </c>
      <c r="S58" s="172">
        <f t="shared" si="50"/>
        <v>882.3288667</v>
      </c>
      <c r="T58" s="172">
        <f t="shared" si="50"/>
        <v>911.7991333</v>
      </c>
      <c r="U58" s="172">
        <f t="shared" si="50"/>
        <v>930.3129333</v>
      </c>
      <c r="V58" s="172">
        <f t="shared" si="50"/>
        <v>926.6775333</v>
      </c>
      <c r="W58" s="172">
        <f t="shared" si="50"/>
        <v>934.3075333</v>
      </c>
      <c r="X58" s="172">
        <f t="shared" si="50"/>
        <v>933.6623333</v>
      </c>
      <c r="Y58" s="172">
        <f t="shared" si="50"/>
        <v>944.6352</v>
      </c>
      <c r="Z58" s="172">
        <f t="shared" si="50"/>
        <v>966.1662667</v>
      </c>
      <c r="AA58" s="172">
        <f t="shared" si="50"/>
        <v>990.9641333</v>
      </c>
      <c r="AB58" s="172">
        <f t="shared" si="50"/>
        <v>991.5223333</v>
      </c>
      <c r="AC58" s="172">
        <f t="shared" si="50"/>
        <v>1004.132133</v>
      </c>
      <c r="AD58" s="172">
        <f t="shared" si="50"/>
        <v>1017.541733</v>
      </c>
      <c r="AE58" s="172">
        <f t="shared" si="50"/>
        <v>1019.9172</v>
      </c>
      <c r="AF58" s="172">
        <f t="shared" si="50"/>
        <v>0</v>
      </c>
      <c r="AG58" s="172">
        <f t="shared" si="50"/>
        <v>0</v>
      </c>
      <c r="AH58" s="172">
        <f t="shared" si="50"/>
        <v>0</v>
      </c>
      <c r="AI58" s="172">
        <f t="shared" si="50"/>
        <v>0</v>
      </c>
      <c r="AJ58" s="172">
        <f t="shared" si="50"/>
        <v>0</v>
      </c>
      <c r="AK58" s="172">
        <f t="shared" si="50"/>
        <v>0</v>
      </c>
      <c r="AL58" s="172">
        <f t="shared" si="50"/>
        <v>0</v>
      </c>
      <c r="AM58" s="172">
        <f t="shared" si="50"/>
        <v>0</v>
      </c>
      <c r="AN58" s="172">
        <f t="shared" si="50"/>
        <v>0</v>
      </c>
      <c r="AO58" s="172">
        <f t="shared" si="50"/>
        <v>0</v>
      </c>
      <c r="AP58" s="172">
        <f t="shared" si="50"/>
        <v>0</v>
      </c>
      <c r="AQ58" s="172">
        <f t="shared" si="50"/>
        <v>0</v>
      </c>
      <c r="AR58" s="172">
        <f t="shared" si="50"/>
        <v>0</v>
      </c>
      <c r="AS58" s="172">
        <f t="shared" si="50"/>
        <v>0</v>
      </c>
      <c r="AT58" s="172">
        <f t="shared" si="50"/>
        <v>0</v>
      </c>
      <c r="AU58" s="172">
        <f t="shared" si="50"/>
        <v>0</v>
      </c>
      <c r="AV58" s="172">
        <f t="shared" si="50"/>
        <v>0</v>
      </c>
      <c r="AW58" s="172">
        <f t="shared" si="50"/>
        <v>0</v>
      </c>
      <c r="AX58" s="172">
        <f t="shared" si="50"/>
        <v>0</v>
      </c>
      <c r="AY58" s="172">
        <f t="shared" si="50"/>
        <v>0</v>
      </c>
      <c r="AZ58" s="172">
        <f t="shared" si="50"/>
        <v>0</v>
      </c>
      <c r="BA58" s="172">
        <f t="shared" si="50"/>
        <v>0</v>
      </c>
      <c r="BB58" s="172">
        <f t="shared" si="50"/>
        <v>0</v>
      </c>
      <c r="BC58" s="172">
        <f t="shared" si="50"/>
        <v>0</v>
      </c>
      <c r="BD58" s="172">
        <f t="shared" si="50"/>
        <v>0</v>
      </c>
      <c r="BE58" s="172">
        <f t="shared" si="50"/>
        <v>0</v>
      </c>
      <c r="BF58" s="172">
        <f t="shared" si="50"/>
        <v>0</v>
      </c>
      <c r="BG58" s="172">
        <f t="shared" si="50"/>
        <v>0</v>
      </c>
      <c r="BH58" s="172">
        <f t="shared" si="50"/>
        <v>0</v>
      </c>
      <c r="BI58" s="172">
        <f t="shared" si="50"/>
        <v>0</v>
      </c>
      <c r="BJ58" s="172">
        <f t="shared" si="50"/>
        <v>0</v>
      </c>
      <c r="BK58" s="172">
        <f t="shared" si="50"/>
        <v>0</v>
      </c>
      <c r="BL58" s="172">
        <f t="shared" si="50"/>
        <v>0</v>
      </c>
      <c r="BM58" s="172">
        <f t="shared" si="50"/>
        <v>0</v>
      </c>
      <c r="BN58" s="172">
        <f t="shared" si="50"/>
        <v>0</v>
      </c>
      <c r="BO58" s="172">
        <f t="shared" si="50"/>
        <v>0</v>
      </c>
      <c r="BP58" s="172">
        <f t="shared" si="50"/>
        <v>0</v>
      </c>
      <c r="BQ58" s="172">
        <f t="shared" si="50"/>
        <v>0</v>
      </c>
      <c r="BR58" s="172">
        <f t="shared" si="50"/>
        <v>0</v>
      </c>
      <c r="BS58" s="172">
        <f t="shared" si="50"/>
        <v>0</v>
      </c>
      <c r="BT58" s="172">
        <f t="shared" si="50"/>
        <v>0</v>
      </c>
      <c r="BU58" s="172">
        <f t="shared" si="50"/>
        <v>0</v>
      </c>
      <c r="BV58" s="99"/>
    </row>
    <row r="59">
      <c r="A59" s="20"/>
      <c r="B59" s="20"/>
      <c r="C59" s="154" t="s">
        <v>37</v>
      </c>
      <c r="D59" s="173"/>
      <c r="E59" s="173"/>
      <c r="F59" s="173"/>
      <c r="G59" s="174"/>
      <c r="H59" s="175">
        <f t="shared" ref="H59:L59" si="51">iferror(H58/H54,0)</f>
        <v>0.8</v>
      </c>
      <c r="I59" s="175">
        <f t="shared" si="51"/>
        <v>0.8</v>
      </c>
      <c r="J59" s="175">
        <f t="shared" si="51"/>
        <v>0</v>
      </c>
      <c r="K59" s="175">
        <f t="shared" si="51"/>
        <v>0</v>
      </c>
      <c r="L59" s="175">
        <f t="shared" si="51"/>
        <v>0</v>
      </c>
      <c r="M59" s="176"/>
      <c r="N59" s="177">
        <v>0.8</v>
      </c>
      <c r="O59" s="177">
        <v>0.8</v>
      </c>
      <c r="P59" s="177">
        <v>0.8</v>
      </c>
      <c r="Q59" s="177">
        <v>0.8</v>
      </c>
      <c r="R59" s="177">
        <v>0.8</v>
      </c>
      <c r="S59" s="177">
        <v>0.8</v>
      </c>
      <c r="T59" s="177">
        <v>0.8</v>
      </c>
      <c r="U59" s="177">
        <v>0.8</v>
      </c>
      <c r="V59" s="177">
        <v>0.8</v>
      </c>
      <c r="W59" s="177">
        <v>0.8</v>
      </c>
      <c r="X59" s="177">
        <v>0.8</v>
      </c>
      <c r="Y59" s="177">
        <v>0.8</v>
      </c>
      <c r="Z59" s="177">
        <v>0.8</v>
      </c>
      <c r="AA59" s="177">
        <v>0.8</v>
      </c>
      <c r="AB59" s="177">
        <v>0.8</v>
      </c>
      <c r="AC59" s="177">
        <v>0.8</v>
      </c>
      <c r="AD59" s="177">
        <v>0.8</v>
      </c>
      <c r="AE59" s="177">
        <v>0.8</v>
      </c>
      <c r="AF59" s="175"/>
      <c r="AG59" s="175"/>
      <c r="AH59" s="175"/>
      <c r="AI59" s="175"/>
      <c r="AJ59" s="175"/>
      <c r="AK59" s="175"/>
      <c r="AL59" s="175"/>
      <c r="AM59" s="175"/>
      <c r="AN59" s="175"/>
      <c r="AO59" s="175"/>
      <c r="AP59" s="175"/>
      <c r="AQ59" s="175"/>
      <c r="AR59" s="175"/>
      <c r="AS59" s="175"/>
      <c r="AT59" s="175"/>
      <c r="AU59" s="175"/>
      <c r="AV59" s="175"/>
      <c r="AW59" s="175"/>
      <c r="AX59" s="175"/>
      <c r="AY59" s="175"/>
      <c r="AZ59" s="175"/>
      <c r="BA59" s="175"/>
      <c r="BB59" s="175"/>
      <c r="BC59" s="175"/>
      <c r="BD59" s="175"/>
      <c r="BE59" s="175"/>
      <c r="BF59" s="175"/>
      <c r="BG59" s="175"/>
      <c r="BH59" s="175"/>
      <c r="BI59" s="175"/>
      <c r="BJ59" s="175"/>
      <c r="BK59" s="175"/>
      <c r="BL59" s="175"/>
      <c r="BM59" s="175"/>
      <c r="BN59" s="175"/>
      <c r="BO59" s="175"/>
      <c r="BP59" s="175"/>
      <c r="BQ59" s="175"/>
      <c r="BR59" s="175"/>
      <c r="BS59" s="175"/>
      <c r="BT59" s="175"/>
      <c r="BU59" s="175"/>
      <c r="BV59" s="99"/>
    </row>
    <row r="60">
      <c r="A60" s="20"/>
      <c r="B60" s="20"/>
      <c r="C60" s="109"/>
      <c r="D60" s="109"/>
      <c r="E60" s="109"/>
      <c r="F60" s="109"/>
      <c r="G60" s="141"/>
      <c r="H60" s="109"/>
      <c r="I60" s="109"/>
      <c r="J60" s="109"/>
      <c r="K60" s="109"/>
      <c r="L60" s="109"/>
      <c r="M60" s="20"/>
      <c r="N60" s="109"/>
      <c r="O60" s="109"/>
      <c r="P60" s="109"/>
      <c r="Q60" s="109"/>
      <c r="R60" s="109"/>
      <c r="S60" s="109"/>
      <c r="T60" s="109"/>
      <c r="U60" s="109"/>
      <c r="V60" s="109"/>
      <c r="W60" s="109"/>
      <c r="X60" s="109"/>
      <c r="Y60" s="109"/>
      <c r="Z60" s="109"/>
      <c r="AA60" s="109"/>
      <c r="AB60" s="109"/>
      <c r="AC60" s="109"/>
      <c r="AD60" s="109"/>
      <c r="AE60" s="109"/>
      <c r="AF60" s="109"/>
      <c r="AG60" s="109"/>
      <c r="AH60" s="109"/>
      <c r="AI60" s="109"/>
      <c r="AJ60" s="109"/>
      <c r="AK60" s="109"/>
      <c r="AL60" s="109"/>
      <c r="AM60" s="109"/>
      <c r="AN60" s="109"/>
      <c r="AO60" s="109"/>
      <c r="AP60" s="109"/>
      <c r="AQ60" s="109"/>
      <c r="AR60" s="109"/>
      <c r="AS60" s="109"/>
      <c r="AT60" s="109"/>
      <c r="AU60" s="109"/>
      <c r="AV60" s="109"/>
      <c r="AW60" s="109"/>
      <c r="AX60" s="109"/>
      <c r="AY60" s="109"/>
      <c r="AZ60" s="109"/>
      <c r="BA60" s="109"/>
      <c r="BB60" s="109"/>
      <c r="BC60" s="109"/>
      <c r="BD60" s="109"/>
      <c r="BE60" s="109"/>
      <c r="BF60" s="109"/>
      <c r="BG60" s="109"/>
      <c r="BH60" s="109"/>
      <c r="BI60" s="109"/>
      <c r="BJ60" s="109"/>
      <c r="BK60" s="109"/>
      <c r="BL60" s="109"/>
      <c r="BM60" s="109"/>
      <c r="BN60" s="109"/>
      <c r="BO60" s="109"/>
      <c r="BP60" s="109"/>
      <c r="BQ60" s="109"/>
      <c r="BR60" s="109"/>
      <c r="BS60" s="109"/>
      <c r="BT60" s="109"/>
      <c r="BU60" s="109"/>
      <c r="BV60" s="99"/>
    </row>
    <row r="61">
      <c r="A61" s="20"/>
      <c r="B61" s="20"/>
      <c r="C61" s="131" t="s">
        <v>76</v>
      </c>
      <c r="D61" s="109"/>
      <c r="E61" s="109"/>
      <c r="F61" s="109"/>
      <c r="G61" s="178"/>
      <c r="H61" s="109"/>
      <c r="I61" s="109"/>
      <c r="J61" s="109"/>
      <c r="K61" s="109"/>
      <c r="L61" s="109"/>
      <c r="M61" s="20"/>
      <c r="N61" s="109"/>
      <c r="O61" s="109"/>
      <c r="P61" s="109"/>
      <c r="Q61" s="109"/>
      <c r="R61" s="109"/>
      <c r="S61" s="109"/>
      <c r="T61" s="109"/>
      <c r="U61" s="109"/>
      <c r="V61" s="109"/>
      <c r="W61" s="109"/>
      <c r="X61" s="109"/>
      <c r="Y61" s="109"/>
      <c r="Z61" s="109"/>
      <c r="AA61" s="109"/>
      <c r="AB61" s="109"/>
      <c r="AC61" s="109"/>
      <c r="AD61" s="109"/>
      <c r="AE61" s="109"/>
      <c r="AF61" s="109"/>
      <c r="AG61" s="109"/>
      <c r="AH61" s="109"/>
      <c r="AI61" s="109"/>
      <c r="AJ61" s="109"/>
      <c r="AK61" s="109"/>
      <c r="AL61" s="109"/>
      <c r="AM61" s="109"/>
      <c r="AN61" s="109"/>
      <c r="AO61" s="109"/>
      <c r="AP61" s="109"/>
      <c r="AQ61" s="109"/>
      <c r="AR61" s="109"/>
      <c r="AS61" s="109"/>
      <c r="AT61" s="109"/>
      <c r="AU61" s="109"/>
      <c r="AV61" s="109"/>
      <c r="AW61" s="109"/>
      <c r="AX61" s="109"/>
      <c r="AY61" s="109"/>
      <c r="AZ61" s="109"/>
      <c r="BA61" s="109"/>
      <c r="BB61" s="109"/>
      <c r="BC61" s="109"/>
      <c r="BD61" s="109"/>
      <c r="BE61" s="109"/>
      <c r="BF61" s="109"/>
      <c r="BG61" s="109"/>
      <c r="BH61" s="109"/>
      <c r="BI61" s="109"/>
      <c r="BJ61" s="109"/>
      <c r="BK61" s="109"/>
      <c r="BL61" s="109"/>
      <c r="BM61" s="109"/>
      <c r="BN61" s="109"/>
      <c r="BO61" s="109"/>
      <c r="BP61" s="109"/>
      <c r="BQ61" s="109"/>
      <c r="BR61" s="109"/>
      <c r="BS61" s="109"/>
      <c r="BT61" s="109"/>
      <c r="BU61" s="109"/>
      <c r="BV61" s="99"/>
    </row>
    <row r="62">
      <c r="A62" s="20"/>
      <c r="B62" s="20"/>
      <c r="C62" s="144" t="str">
        <f>'Key Assumptions'!C33</f>
        <v>G&amp;A</v>
      </c>
      <c r="D62" s="143"/>
      <c r="E62" s="144"/>
      <c r="F62" s="136"/>
      <c r="G62" s="179" t="s">
        <v>40</v>
      </c>
      <c r="H62" s="112">
        <f t="shared" ref="H62:L62" si="52">SUMIFS($N62:$BU62,$N$19:$BU$19,H$19)</f>
        <v>3000</v>
      </c>
      <c r="I62" s="112">
        <f t="shared" si="52"/>
        <v>1500</v>
      </c>
      <c r="J62" s="112">
        <f t="shared" si="52"/>
        <v>0</v>
      </c>
      <c r="K62" s="112">
        <f t="shared" si="52"/>
        <v>0</v>
      </c>
      <c r="L62" s="112">
        <f t="shared" si="52"/>
        <v>0</v>
      </c>
      <c r="M62" s="20"/>
      <c r="N62" s="180">
        <v>250.0</v>
      </c>
      <c r="O62" s="180">
        <v>250.0</v>
      </c>
      <c r="P62" s="180">
        <v>250.0</v>
      </c>
      <c r="Q62" s="180">
        <v>250.0</v>
      </c>
      <c r="R62" s="180">
        <v>250.0</v>
      </c>
      <c r="S62" s="180">
        <v>250.0</v>
      </c>
      <c r="T62" s="180">
        <v>250.0</v>
      </c>
      <c r="U62" s="180">
        <v>250.0</v>
      </c>
      <c r="V62" s="180">
        <v>250.0</v>
      </c>
      <c r="W62" s="180">
        <v>250.0</v>
      </c>
      <c r="X62" s="180">
        <v>250.0</v>
      </c>
      <c r="Y62" s="180">
        <v>250.0</v>
      </c>
      <c r="Z62" s="180">
        <v>250.0</v>
      </c>
      <c r="AA62" s="180">
        <v>250.0</v>
      </c>
      <c r="AB62" s="180">
        <v>250.0</v>
      </c>
      <c r="AC62" s="180">
        <v>250.0</v>
      </c>
      <c r="AD62" s="180">
        <v>250.0</v>
      </c>
      <c r="AE62" s="180">
        <v>250.0</v>
      </c>
      <c r="AF62" s="152"/>
      <c r="AG62" s="152"/>
      <c r="AH62" s="152"/>
      <c r="AI62" s="152"/>
      <c r="AJ62" s="152"/>
      <c r="AK62" s="152"/>
      <c r="AL62" s="152"/>
      <c r="AM62" s="152"/>
      <c r="AN62" s="152"/>
      <c r="AO62" s="152"/>
      <c r="AP62" s="152"/>
      <c r="AQ62" s="152"/>
      <c r="AR62" s="152"/>
      <c r="AS62" s="152"/>
      <c r="AT62" s="152"/>
      <c r="AU62" s="152"/>
      <c r="AV62" s="152"/>
      <c r="AW62" s="152"/>
      <c r="AX62" s="152"/>
      <c r="AY62" s="152"/>
      <c r="AZ62" s="152"/>
      <c r="BA62" s="152"/>
      <c r="BB62" s="152"/>
      <c r="BC62" s="152"/>
      <c r="BD62" s="152"/>
      <c r="BE62" s="152"/>
      <c r="BF62" s="152"/>
      <c r="BG62" s="152"/>
      <c r="BH62" s="152"/>
      <c r="BI62" s="152"/>
      <c r="BJ62" s="152"/>
      <c r="BK62" s="152"/>
      <c r="BL62" s="152"/>
      <c r="BM62" s="152"/>
      <c r="BN62" s="152"/>
      <c r="BO62" s="152"/>
      <c r="BP62" s="152"/>
      <c r="BQ62" s="152"/>
      <c r="BR62" s="152"/>
      <c r="BS62" s="152"/>
      <c r="BT62" s="152"/>
      <c r="BU62" s="152"/>
      <c r="BV62" s="99"/>
    </row>
    <row r="63">
      <c r="A63" s="20"/>
      <c r="B63" s="20"/>
      <c r="C63" s="144" t="str">
        <f>'Key Assumptions'!C34</f>
        <v>S&amp;M</v>
      </c>
      <c r="D63" s="143"/>
      <c r="E63" s="144"/>
      <c r="F63" s="136"/>
      <c r="G63" s="179" t="s">
        <v>40</v>
      </c>
      <c r="H63" s="112">
        <f t="shared" ref="H63:L63" si="53">SUMIFS($N63:$BU63,$N$19:$BU$19,H$19)</f>
        <v>7200</v>
      </c>
      <c r="I63" s="112">
        <f t="shared" si="53"/>
        <v>3600</v>
      </c>
      <c r="J63" s="112">
        <f t="shared" si="53"/>
        <v>0</v>
      </c>
      <c r="K63" s="112">
        <f t="shared" si="53"/>
        <v>0</v>
      </c>
      <c r="L63" s="112">
        <f t="shared" si="53"/>
        <v>0</v>
      </c>
      <c r="M63" s="20"/>
      <c r="N63" s="180">
        <v>600.0</v>
      </c>
      <c r="O63" s="180">
        <v>600.0</v>
      </c>
      <c r="P63" s="180">
        <v>600.0</v>
      </c>
      <c r="Q63" s="180">
        <v>600.0</v>
      </c>
      <c r="R63" s="180">
        <v>600.0</v>
      </c>
      <c r="S63" s="180">
        <v>600.0</v>
      </c>
      <c r="T63" s="180">
        <v>600.0</v>
      </c>
      <c r="U63" s="180">
        <v>600.0</v>
      </c>
      <c r="V63" s="180">
        <v>600.0</v>
      </c>
      <c r="W63" s="180">
        <v>600.0</v>
      </c>
      <c r="X63" s="180">
        <v>600.0</v>
      </c>
      <c r="Y63" s="180">
        <v>600.0</v>
      </c>
      <c r="Z63" s="180">
        <v>600.0</v>
      </c>
      <c r="AA63" s="180">
        <v>600.0</v>
      </c>
      <c r="AB63" s="180">
        <v>600.0</v>
      </c>
      <c r="AC63" s="180">
        <v>600.0</v>
      </c>
      <c r="AD63" s="180">
        <v>600.0</v>
      </c>
      <c r="AE63" s="180">
        <v>600.0</v>
      </c>
      <c r="AF63" s="152"/>
      <c r="AG63" s="152"/>
      <c r="AH63" s="152"/>
      <c r="AI63" s="152"/>
      <c r="AJ63" s="152"/>
      <c r="AK63" s="152"/>
      <c r="AL63" s="152"/>
      <c r="AM63" s="152"/>
      <c r="AN63" s="152"/>
      <c r="AO63" s="152"/>
      <c r="AP63" s="152"/>
      <c r="AQ63" s="152"/>
      <c r="AR63" s="152"/>
      <c r="AS63" s="152"/>
      <c r="AT63" s="152"/>
      <c r="AU63" s="152"/>
      <c r="AV63" s="152"/>
      <c r="AW63" s="152"/>
      <c r="AX63" s="152"/>
      <c r="AY63" s="152"/>
      <c r="AZ63" s="152"/>
      <c r="BA63" s="152"/>
      <c r="BB63" s="152"/>
      <c r="BC63" s="152"/>
      <c r="BD63" s="152"/>
      <c r="BE63" s="152"/>
      <c r="BF63" s="152"/>
      <c r="BG63" s="152"/>
      <c r="BH63" s="152"/>
      <c r="BI63" s="152"/>
      <c r="BJ63" s="152"/>
      <c r="BK63" s="152"/>
      <c r="BL63" s="152"/>
      <c r="BM63" s="152"/>
      <c r="BN63" s="152"/>
      <c r="BO63" s="152"/>
      <c r="BP63" s="152"/>
      <c r="BQ63" s="152"/>
      <c r="BR63" s="152"/>
      <c r="BS63" s="152"/>
      <c r="BT63" s="152"/>
      <c r="BU63" s="152"/>
      <c r="BV63" s="99"/>
    </row>
    <row r="64">
      <c r="A64" s="20"/>
      <c r="B64" s="20"/>
      <c r="C64" s="181" t="str">
        <f>'Key Assumptions'!C35</f>
        <v>R&amp;D</v>
      </c>
      <c r="D64" s="182"/>
      <c r="E64" s="181"/>
      <c r="F64" s="183"/>
      <c r="G64" s="184" t="s">
        <v>40</v>
      </c>
      <c r="H64" s="185">
        <f t="shared" ref="H64:L64" si="54">SUMIFS($N64:$BU64,$N$19:$BU$19,H$19)</f>
        <v>4800</v>
      </c>
      <c r="I64" s="185">
        <f t="shared" si="54"/>
        <v>2400</v>
      </c>
      <c r="J64" s="185">
        <f t="shared" si="54"/>
        <v>0</v>
      </c>
      <c r="K64" s="185">
        <f t="shared" si="54"/>
        <v>0</v>
      </c>
      <c r="L64" s="185">
        <f t="shared" si="54"/>
        <v>0</v>
      </c>
      <c r="M64" s="20"/>
      <c r="N64" s="180">
        <v>400.0</v>
      </c>
      <c r="O64" s="180">
        <v>400.0</v>
      </c>
      <c r="P64" s="180">
        <v>400.0</v>
      </c>
      <c r="Q64" s="180">
        <v>400.0</v>
      </c>
      <c r="R64" s="180">
        <v>400.0</v>
      </c>
      <c r="S64" s="180">
        <v>400.0</v>
      </c>
      <c r="T64" s="180">
        <v>400.0</v>
      </c>
      <c r="U64" s="180">
        <v>400.0</v>
      </c>
      <c r="V64" s="180">
        <v>400.0</v>
      </c>
      <c r="W64" s="180">
        <v>400.0</v>
      </c>
      <c r="X64" s="180">
        <v>400.0</v>
      </c>
      <c r="Y64" s="180">
        <v>400.0</v>
      </c>
      <c r="Z64" s="180">
        <v>400.0</v>
      </c>
      <c r="AA64" s="180">
        <v>400.0</v>
      </c>
      <c r="AB64" s="180">
        <v>400.0</v>
      </c>
      <c r="AC64" s="180">
        <v>400.0</v>
      </c>
      <c r="AD64" s="180">
        <v>400.0</v>
      </c>
      <c r="AE64" s="180">
        <v>400.0</v>
      </c>
      <c r="AF64" s="152"/>
      <c r="AG64" s="152"/>
      <c r="AH64" s="152"/>
      <c r="AI64" s="152"/>
      <c r="AJ64" s="152"/>
      <c r="AK64" s="152"/>
      <c r="AL64" s="152"/>
      <c r="AM64" s="152"/>
      <c r="AN64" s="152"/>
      <c r="AO64" s="152"/>
      <c r="AP64" s="152"/>
      <c r="AQ64" s="152"/>
      <c r="AR64" s="152"/>
      <c r="AS64" s="152"/>
      <c r="AT64" s="152"/>
      <c r="AU64" s="152"/>
      <c r="AV64" s="152"/>
      <c r="AW64" s="152"/>
      <c r="AX64" s="152"/>
      <c r="AY64" s="152"/>
      <c r="AZ64" s="152"/>
      <c r="BA64" s="152"/>
      <c r="BB64" s="152"/>
      <c r="BC64" s="152"/>
      <c r="BD64" s="152"/>
      <c r="BE64" s="152"/>
      <c r="BF64" s="152"/>
      <c r="BG64" s="152"/>
      <c r="BH64" s="152"/>
      <c r="BI64" s="152"/>
      <c r="BJ64" s="152"/>
      <c r="BK64" s="152"/>
      <c r="BL64" s="152"/>
      <c r="BM64" s="152"/>
      <c r="BN64" s="152"/>
      <c r="BO64" s="152"/>
      <c r="BP64" s="152"/>
      <c r="BQ64" s="152"/>
      <c r="BR64" s="152"/>
      <c r="BS64" s="152"/>
      <c r="BT64" s="152"/>
      <c r="BU64" s="152"/>
      <c r="BV64" s="99"/>
    </row>
    <row r="65">
      <c r="A65" s="20"/>
      <c r="B65" s="20"/>
      <c r="C65" s="186" t="s">
        <v>77</v>
      </c>
      <c r="D65" s="187"/>
      <c r="E65" s="187"/>
      <c r="F65" s="187"/>
      <c r="G65" s="188" t="s">
        <v>40</v>
      </c>
      <c r="H65" s="189">
        <f t="shared" ref="H65:L65" si="55">sum(H62:H64)</f>
        <v>15000</v>
      </c>
      <c r="I65" s="189">
        <f t="shared" si="55"/>
        <v>7500</v>
      </c>
      <c r="J65" s="189">
        <f t="shared" si="55"/>
        <v>0</v>
      </c>
      <c r="K65" s="189">
        <f t="shared" si="55"/>
        <v>0</v>
      </c>
      <c r="L65" s="189">
        <f t="shared" si="55"/>
        <v>0</v>
      </c>
      <c r="M65" s="20"/>
      <c r="N65" s="172">
        <f t="shared" ref="N65:AE65" si="56">sum(N62:N64)</f>
        <v>1250</v>
      </c>
      <c r="O65" s="172">
        <f t="shared" si="56"/>
        <v>1250</v>
      </c>
      <c r="P65" s="172">
        <f t="shared" si="56"/>
        <v>1250</v>
      </c>
      <c r="Q65" s="172">
        <f t="shared" si="56"/>
        <v>1250</v>
      </c>
      <c r="R65" s="172">
        <f t="shared" si="56"/>
        <v>1250</v>
      </c>
      <c r="S65" s="172">
        <f t="shared" si="56"/>
        <v>1250</v>
      </c>
      <c r="T65" s="172">
        <f t="shared" si="56"/>
        <v>1250</v>
      </c>
      <c r="U65" s="172">
        <f t="shared" si="56"/>
        <v>1250</v>
      </c>
      <c r="V65" s="172">
        <f t="shared" si="56"/>
        <v>1250</v>
      </c>
      <c r="W65" s="172">
        <f t="shared" si="56"/>
        <v>1250</v>
      </c>
      <c r="X65" s="172">
        <f t="shared" si="56"/>
        <v>1250</v>
      </c>
      <c r="Y65" s="172">
        <f t="shared" si="56"/>
        <v>1250</v>
      </c>
      <c r="Z65" s="172">
        <f t="shared" si="56"/>
        <v>1250</v>
      </c>
      <c r="AA65" s="172">
        <f t="shared" si="56"/>
        <v>1250</v>
      </c>
      <c r="AB65" s="172">
        <f t="shared" si="56"/>
        <v>1250</v>
      </c>
      <c r="AC65" s="172">
        <f t="shared" si="56"/>
        <v>1250</v>
      </c>
      <c r="AD65" s="172">
        <f t="shared" si="56"/>
        <v>1250</v>
      </c>
      <c r="AE65" s="172">
        <f t="shared" si="56"/>
        <v>1250</v>
      </c>
      <c r="AF65" s="172"/>
      <c r="AG65" s="172"/>
      <c r="AH65" s="172"/>
      <c r="AI65" s="172"/>
      <c r="AJ65" s="172"/>
      <c r="AK65" s="172"/>
      <c r="AL65" s="172"/>
      <c r="AM65" s="172"/>
      <c r="AN65" s="172"/>
      <c r="AO65" s="172"/>
      <c r="AP65" s="172"/>
      <c r="AQ65" s="172"/>
      <c r="AR65" s="172"/>
      <c r="AS65" s="172"/>
      <c r="AT65" s="172"/>
      <c r="AU65" s="172"/>
      <c r="AV65" s="172"/>
      <c r="AW65" s="172"/>
      <c r="AX65" s="172"/>
      <c r="AY65" s="172"/>
      <c r="AZ65" s="172"/>
      <c r="BA65" s="172"/>
      <c r="BB65" s="172"/>
      <c r="BC65" s="172"/>
      <c r="BD65" s="172"/>
      <c r="BE65" s="172"/>
      <c r="BF65" s="172"/>
      <c r="BG65" s="172"/>
      <c r="BH65" s="172"/>
      <c r="BI65" s="172"/>
      <c r="BJ65" s="172"/>
      <c r="BK65" s="172"/>
      <c r="BL65" s="172"/>
      <c r="BM65" s="172"/>
      <c r="BN65" s="172"/>
      <c r="BO65" s="172"/>
      <c r="BP65" s="172"/>
      <c r="BQ65" s="172"/>
      <c r="BR65" s="172"/>
      <c r="BS65" s="172"/>
      <c r="BT65" s="172"/>
      <c r="BU65" s="172"/>
      <c r="BV65" s="99"/>
    </row>
    <row r="66">
      <c r="A66" s="20"/>
      <c r="B66" s="20"/>
      <c r="C66" s="109"/>
      <c r="D66" s="109"/>
      <c r="E66" s="109"/>
      <c r="F66" s="109"/>
      <c r="G66" s="178"/>
      <c r="H66" s="109"/>
      <c r="I66" s="109"/>
      <c r="J66" s="109"/>
      <c r="K66" s="109"/>
      <c r="L66" s="109"/>
      <c r="M66" s="20"/>
      <c r="N66" s="109"/>
      <c r="O66" s="190"/>
      <c r="P66" s="109"/>
      <c r="Q66" s="109"/>
      <c r="R66" s="109"/>
      <c r="S66" s="109"/>
      <c r="T66" s="109"/>
      <c r="U66" s="109"/>
      <c r="V66" s="109"/>
      <c r="W66" s="109"/>
      <c r="X66" s="109"/>
      <c r="Y66" s="109"/>
      <c r="Z66" s="109"/>
      <c r="AA66" s="109"/>
      <c r="AB66" s="109"/>
      <c r="AC66" s="109"/>
      <c r="AD66" s="109"/>
      <c r="AE66" s="109"/>
      <c r="AF66" s="109"/>
      <c r="AG66" s="109"/>
      <c r="AH66" s="109"/>
      <c r="AI66" s="109"/>
      <c r="AJ66" s="109"/>
      <c r="AK66" s="109"/>
      <c r="AL66" s="109"/>
      <c r="AM66" s="109"/>
      <c r="AN66" s="109"/>
      <c r="AO66" s="109"/>
      <c r="AP66" s="109"/>
      <c r="AQ66" s="109"/>
      <c r="AR66" s="109"/>
      <c r="AS66" s="109"/>
      <c r="AT66" s="109"/>
      <c r="AU66" s="109"/>
      <c r="AV66" s="109"/>
      <c r="AW66" s="109"/>
      <c r="AX66" s="109"/>
      <c r="AY66" s="109"/>
      <c r="AZ66" s="109"/>
      <c r="BA66" s="109"/>
      <c r="BB66" s="109"/>
      <c r="BC66" s="109"/>
      <c r="BD66" s="109"/>
      <c r="BE66" s="109"/>
      <c r="BF66" s="109"/>
      <c r="BG66" s="109"/>
      <c r="BH66" s="109"/>
      <c r="BI66" s="109"/>
      <c r="BJ66" s="109"/>
      <c r="BK66" s="109"/>
      <c r="BL66" s="109"/>
      <c r="BM66" s="109"/>
      <c r="BN66" s="109"/>
      <c r="BO66" s="109"/>
      <c r="BP66" s="109"/>
      <c r="BQ66" s="109"/>
      <c r="BR66" s="109"/>
      <c r="BS66" s="109"/>
      <c r="BT66" s="109"/>
      <c r="BU66" s="109"/>
      <c r="BV66" s="99"/>
    </row>
    <row r="67">
      <c r="A67" s="20"/>
      <c r="B67" s="20"/>
      <c r="C67" s="191" t="s">
        <v>78</v>
      </c>
      <c r="D67" s="192"/>
      <c r="E67" s="192"/>
      <c r="F67" s="192"/>
      <c r="G67" s="193" t="s">
        <v>40</v>
      </c>
      <c r="H67" s="172">
        <f t="shared" ref="H67:L67" si="57">H58-H65</f>
        <v>-4380.8208</v>
      </c>
      <c r="I67" s="172">
        <f t="shared" si="57"/>
        <v>-1509.7562</v>
      </c>
      <c r="J67" s="172">
        <f t="shared" si="57"/>
        <v>0</v>
      </c>
      <c r="K67" s="172">
        <f t="shared" si="57"/>
        <v>0</v>
      </c>
      <c r="L67" s="172">
        <f t="shared" si="57"/>
        <v>0</v>
      </c>
      <c r="M67" s="20"/>
      <c r="N67" s="172">
        <f t="shared" ref="N67:AE67" si="58">N58-N65</f>
        <v>-451.9974667</v>
      </c>
      <c r="O67" s="172">
        <f t="shared" si="58"/>
        <v>-434.0657333</v>
      </c>
      <c r="P67" s="172">
        <f t="shared" si="58"/>
        <v>-415.3596667</v>
      </c>
      <c r="Q67" s="172">
        <f t="shared" si="58"/>
        <v>-402.7040667</v>
      </c>
      <c r="R67" s="172">
        <f t="shared" si="58"/>
        <v>-390.4174</v>
      </c>
      <c r="S67" s="172">
        <f t="shared" si="58"/>
        <v>-367.6711333</v>
      </c>
      <c r="T67" s="172">
        <f t="shared" si="58"/>
        <v>-338.2008667</v>
      </c>
      <c r="U67" s="172">
        <f t="shared" si="58"/>
        <v>-319.6870667</v>
      </c>
      <c r="V67" s="172">
        <f t="shared" si="58"/>
        <v>-323.3224667</v>
      </c>
      <c r="W67" s="172">
        <f t="shared" si="58"/>
        <v>-315.6924667</v>
      </c>
      <c r="X67" s="172">
        <f t="shared" si="58"/>
        <v>-316.3376667</v>
      </c>
      <c r="Y67" s="172">
        <f t="shared" si="58"/>
        <v>-305.3648</v>
      </c>
      <c r="Z67" s="172">
        <f t="shared" si="58"/>
        <v>-283.8337333</v>
      </c>
      <c r="AA67" s="172">
        <f t="shared" si="58"/>
        <v>-259.0358667</v>
      </c>
      <c r="AB67" s="172">
        <f t="shared" si="58"/>
        <v>-258.4776667</v>
      </c>
      <c r="AC67" s="172">
        <f t="shared" si="58"/>
        <v>-245.8678667</v>
      </c>
      <c r="AD67" s="172">
        <f t="shared" si="58"/>
        <v>-232.4582667</v>
      </c>
      <c r="AE67" s="172">
        <f t="shared" si="58"/>
        <v>-230.0828</v>
      </c>
      <c r="AF67" s="172"/>
      <c r="AG67" s="172"/>
      <c r="AH67" s="172"/>
      <c r="AI67" s="172"/>
      <c r="AJ67" s="172"/>
      <c r="AK67" s="172"/>
      <c r="AL67" s="172"/>
      <c r="AM67" s="172"/>
      <c r="AN67" s="172"/>
      <c r="AO67" s="172"/>
      <c r="AP67" s="172"/>
      <c r="AQ67" s="172"/>
      <c r="AR67" s="172"/>
      <c r="AS67" s="172"/>
      <c r="AT67" s="172"/>
      <c r="AU67" s="172"/>
      <c r="AV67" s="172"/>
      <c r="AW67" s="172"/>
      <c r="AX67" s="172"/>
      <c r="AY67" s="172"/>
      <c r="AZ67" s="172"/>
      <c r="BA67" s="172"/>
      <c r="BB67" s="172"/>
      <c r="BC67" s="172"/>
      <c r="BD67" s="172"/>
      <c r="BE67" s="172"/>
      <c r="BF67" s="172"/>
      <c r="BG67" s="172"/>
      <c r="BH67" s="172"/>
      <c r="BI67" s="172"/>
      <c r="BJ67" s="172"/>
      <c r="BK67" s="172"/>
      <c r="BL67" s="172"/>
      <c r="BM67" s="172"/>
      <c r="BN67" s="172"/>
      <c r="BO67" s="172"/>
      <c r="BP67" s="172"/>
      <c r="BQ67" s="172"/>
      <c r="BR67" s="172"/>
      <c r="BS67" s="172"/>
      <c r="BT67" s="172"/>
      <c r="BU67" s="172"/>
      <c r="BV67" s="99"/>
    </row>
    <row r="68">
      <c r="A68" s="20"/>
      <c r="B68" s="20"/>
      <c r="C68" s="154" t="s">
        <v>79</v>
      </c>
      <c r="D68" s="173"/>
      <c r="E68" s="173"/>
      <c r="F68" s="173"/>
      <c r="G68" s="194" t="s">
        <v>38</v>
      </c>
      <c r="H68" s="157">
        <f t="shared" ref="H68:L68" si="59">iferror(H67/H54,0)</f>
        <v>-0.3300308408</v>
      </c>
      <c r="I68" s="157">
        <f t="shared" si="59"/>
        <v>-0.2016286816</v>
      </c>
      <c r="J68" s="157">
        <f t="shared" si="59"/>
        <v>0</v>
      </c>
      <c r="K68" s="157">
        <f t="shared" si="59"/>
        <v>0</v>
      </c>
      <c r="L68" s="157">
        <f t="shared" si="59"/>
        <v>0</v>
      </c>
      <c r="M68" s="176"/>
      <c r="N68" s="157">
        <f t="shared" ref="N68:AE68" si="60">N67/N54</f>
        <v>-0.4531288539</v>
      </c>
      <c r="O68" s="157">
        <f t="shared" si="60"/>
        <v>-0.4255889241</v>
      </c>
      <c r="P68" s="157">
        <f t="shared" si="60"/>
        <v>-0.3981208672</v>
      </c>
      <c r="Q68" s="157">
        <f t="shared" si="60"/>
        <v>-0.3802251854</v>
      </c>
      <c r="R68" s="157">
        <f t="shared" si="60"/>
        <v>-0.3633553308</v>
      </c>
      <c r="S68" s="157">
        <f t="shared" si="60"/>
        <v>-0.3333642565</v>
      </c>
      <c r="T68" s="157">
        <f t="shared" si="60"/>
        <v>-0.2967327819</v>
      </c>
      <c r="U68" s="157">
        <f t="shared" si="60"/>
        <v>-0.2749071244</v>
      </c>
      <c r="V68" s="157">
        <f t="shared" si="60"/>
        <v>-0.2791240362</v>
      </c>
      <c r="W68" s="157">
        <f t="shared" si="60"/>
        <v>-0.2703113957</v>
      </c>
      <c r="X68" s="157">
        <f t="shared" si="60"/>
        <v>-0.2710510259</v>
      </c>
      <c r="Y68" s="157">
        <f t="shared" si="60"/>
        <v>-0.2586097152</v>
      </c>
      <c r="Z68" s="157">
        <f t="shared" si="60"/>
        <v>-0.2350185413</v>
      </c>
      <c r="AA68" s="157">
        <f t="shared" si="60"/>
        <v>-0.209118258</v>
      </c>
      <c r="AB68" s="157">
        <f t="shared" si="60"/>
        <v>-0.208550152</v>
      </c>
      <c r="AC68" s="157">
        <f t="shared" si="60"/>
        <v>-0.1958848709</v>
      </c>
      <c r="AD68" s="157">
        <f t="shared" si="60"/>
        <v>-0.1827606743</v>
      </c>
      <c r="AE68" s="157">
        <f t="shared" si="60"/>
        <v>-0.1804717481</v>
      </c>
      <c r="AF68" s="157"/>
      <c r="AG68" s="157"/>
      <c r="AH68" s="157"/>
      <c r="AI68" s="157"/>
      <c r="AJ68" s="157"/>
      <c r="AK68" s="157"/>
      <c r="AL68" s="157"/>
      <c r="AM68" s="157"/>
      <c r="AN68" s="157"/>
      <c r="AO68" s="157"/>
      <c r="AP68" s="157"/>
      <c r="AQ68" s="157"/>
      <c r="AR68" s="157"/>
      <c r="AS68" s="157"/>
      <c r="AT68" s="157"/>
      <c r="AU68" s="157"/>
      <c r="AV68" s="157"/>
      <c r="AW68" s="157"/>
      <c r="AX68" s="157"/>
      <c r="AY68" s="157"/>
      <c r="AZ68" s="157"/>
      <c r="BA68" s="157"/>
      <c r="BB68" s="157"/>
      <c r="BC68" s="157"/>
      <c r="BD68" s="157"/>
      <c r="BE68" s="157"/>
      <c r="BF68" s="157"/>
      <c r="BG68" s="157"/>
      <c r="BH68" s="157"/>
      <c r="BI68" s="157"/>
      <c r="BJ68" s="157"/>
      <c r="BK68" s="157"/>
      <c r="BL68" s="157"/>
      <c r="BM68" s="157"/>
      <c r="BN68" s="157"/>
      <c r="BO68" s="157"/>
      <c r="BP68" s="157"/>
      <c r="BQ68" s="157"/>
      <c r="BR68" s="157"/>
      <c r="BS68" s="157"/>
      <c r="BT68" s="157"/>
      <c r="BU68" s="157"/>
      <c r="BV68" s="195"/>
    </row>
    <row r="69">
      <c r="A69" s="20"/>
      <c r="B69" s="20"/>
      <c r="C69" s="109"/>
      <c r="D69" s="109"/>
      <c r="E69" s="109"/>
      <c r="F69" s="109"/>
      <c r="G69" s="109"/>
      <c r="H69" s="109"/>
      <c r="I69" s="109"/>
      <c r="J69" s="109"/>
      <c r="K69" s="109"/>
      <c r="L69" s="109"/>
      <c r="M69" s="20"/>
      <c r="N69" s="109"/>
      <c r="O69" s="109"/>
      <c r="P69" s="109"/>
      <c r="Q69" s="109"/>
      <c r="R69" s="109"/>
      <c r="S69" s="109"/>
      <c r="T69" s="109"/>
      <c r="U69" s="109"/>
      <c r="V69" s="109"/>
      <c r="W69" s="109"/>
      <c r="X69" s="109"/>
      <c r="Y69" s="109"/>
      <c r="Z69" s="109"/>
      <c r="AA69" s="109"/>
      <c r="AB69" s="109"/>
      <c r="AC69" s="109"/>
      <c r="AD69" s="109"/>
      <c r="AE69" s="109"/>
      <c r="AF69" s="109"/>
      <c r="AG69" s="109"/>
      <c r="AH69" s="109"/>
      <c r="AI69" s="109"/>
      <c r="AJ69" s="109"/>
      <c r="AK69" s="109"/>
      <c r="AL69" s="109"/>
      <c r="AM69" s="109"/>
      <c r="AN69" s="109"/>
      <c r="AO69" s="109"/>
      <c r="AP69" s="109"/>
      <c r="AQ69" s="109"/>
      <c r="AR69" s="109"/>
      <c r="AS69" s="109"/>
      <c r="AT69" s="109"/>
      <c r="AU69" s="109"/>
      <c r="AV69" s="109"/>
      <c r="AW69" s="109"/>
      <c r="AX69" s="109"/>
      <c r="AY69" s="109"/>
      <c r="AZ69" s="109"/>
      <c r="BA69" s="109"/>
      <c r="BB69" s="109"/>
      <c r="BC69" s="109"/>
      <c r="BD69" s="109"/>
      <c r="BE69" s="109"/>
      <c r="BF69" s="109"/>
      <c r="BG69" s="109"/>
      <c r="BH69" s="109"/>
      <c r="BI69" s="109"/>
      <c r="BJ69" s="109"/>
      <c r="BK69" s="109"/>
      <c r="BL69" s="109"/>
      <c r="BM69" s="109"/>
      <c r="BN69" s="109"/>
      <c r="BO69" s="109"/>
      <c r="BP69" s="109"/>
      <c r="BQ69" s="109"/>
      <c r="BR69" s="109"/>
      <c r="BS69" s="109"/>
      <c r="BT69" s="109"/>
      <c r="BU69" s="109"/>
      <c r="BV69" s="99"/>
    </row>
    <row r="70">
      <c r="A70" s="20"/>
      <c r="B70" s="20"/>
      <c r="C70" s="102" t="s">
        <v>80</v>
      </c>
      <c r="D70" s="103"/>
      <c r="E70" s="103"/>
      <c r="F70" s="103"/>
      <c r="G70" s="103"/>
      <c r="H70" s="103"/>
      <c r="I70" s="103"/>
      <c r="J70" s="103"/>
      <c r="K70" s="103"/>
      <c r="L70" s="103"/>
      <c r="M70" s="20"/>
      <c r="N70" s="103"/>
      <c r="O70" s="103"/>
      <c r="P70" s="103"/>
      <c r="Q70" s="103"/>
      <c r="R70" s="103"/>
      <c r="S70" s="103"/>
      <c r="T70" s="103"/>
      <c r="U70" s="103"/>
      <c r="V70" s="103"/>
      <c r="W70" s="103"/>
      <c r="X70" s="103"/>
      <c r="Y70" s="103"/>
      <c r="Z70" s="103"/>
      <c r="AA70" s="103"/>
      <c r="AB70" s="103"/>
      <c r="AC70" s="103"/>
      <c r="AD70" s="103"/>
      <c r="AE70" s="103"/>
      <c r="AF70" s="103"/>
      <c r="AG70" s="103"/>
      <c r="AH70" s="103"/>
      <c r="AI70" s="103"/>
      <c r="AJ70" s="103"/>
      <c r="AK70" s="103"/>
      <c r="AL70" s="103"/>
      <c r="AM70" s="103"/>
      <c r="AN70" s="103"/>
      <c r="AO70" s="103"/>
      <c r="AP70" s="103"/>
      <c r="AQ70" s="103"/>
      <c r="AR70" s="103"/>
      <c r="AS70" s="103"/>
      <c r="AT70" s="103"/>
      <c r="AU70" s="103"/>
      <c r="AV70" s="103"/>
      <c r="AW70" s="103"/>
      <c r="AX70" s="103"/>
      <c r="AY70" s="103"/>
      <c r="AZ70" s="103"/>
      <c r="BA70" s="103"/>
      <c r="BB70" s="103"/>
      <c r="BC70" s="103"/>
      <c r="BD70" s="103"/>
      <c r="BE70" s="103"/>
      <c r="BF70" s="103"/>
      <c r="BG70" s="103"/>
      <c r="BH70" s="103"/>
      <c r="BI70" s="103"/>
      <c r="BJ70" s="103"/>
      <c r="BK70" s="103"/>
      <c r="BL70" s="103"/>
      <c r="BM70" s="103"/>
      <c r="BN70" s="103"/>
      <c r="BO70" s="103"/>
      <c r="BP70" s="103"/>
      <c r="BQ70" s="103"/>
      <c r="BR70" s="103"/>
      <c r="BS70" s="103"/>
      <c r="BT70" s="103"/>
      <c r="BU70" s="103"/>
      <c r="BV70" s="99"/>
    </row>
    <row r="71">
      <c r="A71" s="20"/>
      <c r="B71" s="20"/>
      <c r="C71" s="110" t="s">
        <v>81</v>
      </c>
      <c r="D71" s="143"/>
      <c r="E71" s="144"/>
      <c r="F71" s="136"/>
      <c r="G71" s="106" t="s">
        <v>33</v>
      </c>
      <c r="H71" s="112">
        <f>SUMIFS($N71:$BU71,$N$19:$BU$19,H$19)</f>
        <v>395</v>
      </c>
      <c r="I71" s="112">
        <f t="shared" ref="I71:L71" si="61">SUMIFS($N71:$BU71,$N$18:$BU$18,I$18)</f>
        <v>596</v>
      </c>
      <c r="J71" s="112">
        <f t="shared" si="61"/>
        <v>0</v>
      </c>
      <c r="K71" s="112">
        <f t="shared" si="61"/>
        <v>0</v>
      </c>
      <c r="L71" s="112">
        <f t="shared" si="61"/>
        <v>0</v>
      </c>
      <c r="M71" s="20"/>
      <c r="N71" s="108">
        <v>32.0</v>
      </c>
      <c r="O71" s="108">
        <v>41.0</v>
      </c>
      <c r="P71" s="108">
        <v>42.0</v>
      </c>
      <c r="Q71" s="108">
        <v>27.0</v>
      </c>
      <c r="R71" s="108">
        <v>35.0</v>
      </c>
      <c r="S71" s="108">
        <v>34.0</v>
      </c>
      <c r="T71" s="108">
        <v>39.0</v>
      </c>
      <c r="U71" s="108">
        <v>33.0</v>
      </c>
      <c r="V71" s="108">
        <v>30.0</v>
      </c>
      <c r="W71" s="108">
        <v>30.0</v>
      </c>
      <c r="X71" s="108">
        <v>27.0</v>
      </c>
      <c r="Y71" s="108">
        <v>25.0</v>
      </c>
      <c r="Z71" s="108">
        <v>36.0</v>
      </c>
      <c r="AA71" s="108">
        <v>29.0</v>
      </c>
      <c r="AB71" s="108">
        <v>27.0</v>
      </c>
      <c r="AC71" s="108">
        <v>30.0</v>
      </c>
      <c r="AD71" s="108">
        <v>38.0</v>
      </c>
      <c r="AE71" s="108">
        <v>41.0</v>
      </c>
      <c r="AF71" s="109"/>
      <c r="AG71" s="109"/>
      <c r="AH71" s="109"/>
      <c r="AI71" s="109"/>
      <c r="AJ71" s="109"/>
      <c r="AK71" s="109"/>
      <c r="AL71" s="109"/>
      <c r="AM71" s="109"/>
      <c r="AN71" s="109"/>
      <c r="AO71" s="109"/>
      <c r="AP71" s="109"/>
      <c r="AQ71" s="109"/>
      <c r="AR71" s="109"/>
      <c r="AS71" s="109"/>
      <c r="AT71" s="109"/>
      <c r="AU71" s="109"/>
      <c r="AV71" s="109"/>
      <c r="AW71" s="109"/>
      <c r="AX71" s="109"/>
      <c r="AY71" s="109"/>
      <c r="AZ71" s="109"/>
      <c r="BA71" s="109"/>
      <c r="BB71" s="109"/>
      <c r="BC71" s="109"/>
      <c r="BD71" s="109"/>
      <c r="BE71" s="109"/>
      <c r="BF71" s="109"/>
      <c r="BG71" s="109"/>
      <c r="BH71" s="109"/>
      <c r="BI71" s="109"/>
      <c r="BJ71" s="109"/>
      <c r="BK71" s="109"/>
      <c r="BL71" s="109"/>
      <c r="BM71" s="109"/>
      <c r="BN71" s="109"/>
      <c r="BO71" s="109"/>
      <c r="BP71" s="109"/>
      <c r="BQ71" s="109"/>
      <c r="BR71" s="109"/>
      <c r="BS71" s="109"/>
      <c r="BT71" s="109"/>
      <c r="BU71" s="109"/>
      <c r="BV71" s="99"/>
    </row>
    <row r="72">
      <c r="A72" s="20"/>
      <c r="B72" s="20"/>
      <c r="C72" s="140" t="s">
        <v>82</v>
      </c>
      <c r="D72" s="109"/>
      <c r="E72" s="109"/>
      <c r="F72" s="109"/>
      <c r="G72" s="142" t="s">
        <v>33</v>
      </c>
      <c r="H72" s="112">
        <f t="shared" ref="H72:L72" si="62">SUMIFS($N72:$BU72,$N$18:$BU$18,H$18)</f>
        <v>14872145</v>
      </c>
      <c r="I72" s="112">
        <f t="shared" si="62"/>
        <v>14872145</v>
      </c>
      <c r="J72" s="112">
        <f t="shared" si="62"/>
        <v>0</v>
      </c>
      <c r="K72" s="112">
        <f t="shared" si="62"/>
        <v>0</v>
      </c>
      <c r="L72" s="112">
        <f t="shared" si="62"/>
        <v>0</v>
      </c>
      <c r="M72" s="20"/>
      <c r="N72" s="196">
        <v>760857.5</v>
      </c>
      <c r="O72" s="196">
        <v>738900.0</v>
      </c>
      <c r="P72" s="196">
        <v>993687.5</v>
      </c>
      <c r="Q72" s="196">
        <v>852650.0</v>
      </c>
      <c r="R72" s="196">
        <v>635907.5</v>
      </c>
      <c r="S72" s="196">
        <v>994452.5</v>
      </c>
      <c r="T72" s="196">
        <v>1073757.5</v>
      </c>
      <c r="U72" s="196">
        <v>950895.0</v>
      </c>
      <c r="V72" s="196">
        <v>650855.0</v>
      </c>
      <c r="W72" s="196">
        <v>1062657.5</v>
      </c>
      <c r="X72" s="196">
        <v>643410.0</v>
      </c>
      <c r="Y72" s="196">
        <v>557072.5</v>
      </c>
      <c r="Z72" s="196">
        <v>806892.5</v>
      </c>
      <c r="AA72" s="196">
        <v>954195.0</v>
      </c>
      <c r="AB72" s="196">
        <v>582610.0</v>
      </c>
      <c r="AC72" s="196">
        <v>860475.0</v>
      </c>
      <c r="AD72" s="196">
        <v>938925.0</v>
      </c>
      <c r="AE72" s="196">
        <v>813945.0</v>
      </c>
      <c r="AF72" s="109"/>
      <c r="AG72" s="109"/>
      <c r="AH72" s="109"/>
      <c r="AI72" s="109"/>
      <c r="AJ72" s="109"/>
      <c r="AK72" s="109"/>
      <c r="AL72" s="109"/>
      <c r="AM72" s="109"/>
      <c r="AN72" s="109"/>
      <c r="AO72" s="109"/>
      <c r="AP72" s="109"/>
      <c r="AQ72" s="109"/>
      <c r="AR72" s="109"/>
      <c r="AS72" s="109"/>
      <c r="AT72" s="109"/>
      <c r="AU72" s="109"/>
      <c r="AV72" s="109"/>
      <c r="AW72" s="109"/>
      <c r="AX72" s="109"/>
      <c r="AY72" s="109"/>
      <c r="AZ72" s="109"/>
      <c r="BA72" s="109"/>
      <c r="BB72" s="109"/>
      <c r="BC72" s="109"/>
      <c r="BD72" s="109"/>
      <c r="BE72" s="109"/>
      <c r="BF72" s="109"/>
      <c r="BG72" s="109"/>
      <c r="BH72" s="109"/>
      <c r="BI72" s="109"/>
      <c r="BJ72" s="109"/>
      <c r="BK72" s="109"/>
      <c r="BL72" s="109"/>
      <c r="BM72" s="109"/>
      <c r="BN72" s="109"/>
      <c r="BO72" s="109"/>
      <c r="BP72" s="109"/>
      <c r="BQ72" s="109"/>
      <c r="BR72" s="109"/>
      <c r="BS72" s="109"/>
      <c r="BT72" s="109"/>
      <c r="BU72" s="109"/>
      <c r="BV72" s="99"/>
    </row>
    <row r="73">
      <c r="A73" s="20"/>
      <c r="B73" s="20"/>
      <c r="C73" s="110" t="s">
        <v>83</v>
      </c>
      <c r="D73" s="143"/>
      <c r="E73" s="144"/>
      <c r="F73" s="136"/>
      <c r="G73" s="106" t="s">
        <v>38</v>
      </c>
      <c r="H73" s="197">
        <f t="shared" ref="H73:I73" si="63">(H71-H49)/H71</f>
        <v>0.746835443</v>
      </c>
      <c r="I73" s="197">
        <f t="shared" si="63"/>
        <v>0.9026845638</v>
      </c>
      <c r="J73" s="112">
        <f t="shared" ref="J73:L73" si="64">SUMIFS($N73:$BU73,$N$18:$BU$18,J$18)</f>
        <v>0</v>
      </c>
      <c r="K73" s="112">
        <f t="shared" si="64"/>
        <v>0</v>
      </c>
      <c r="L73" s="112">
        <f t="shared" si="64"/>
        <v>0</v>
      </c>
      <c r="M73" s="20"/>
      <c r="N73" s="198">
        <f t="shared" ref="N73:AE73" si="65">(N71-N49)/N71</f>
        <v>0.78125</v>
      </c>
      <c r="O73" s="198">
        <f t="shared" si="65"/>
        <v>0.7317073171</v>
      </c>
      <c r="P73" s="198">
        <f t="shared" si="65"/>
        <v>0.7380952381</v>
      </c>
      <c r="Q73" s="198">
        <f t="shared" si="65"/>
        <v>0.7407407407</v>
      </c>
      <c r="R73" s="198">
        <f t="shared" si="65"/>
        <v>0.8571428571</v>
      </c>
      <c r="S73" s="198">
        <f t="shared" si="65"/>
        <v>0.7647058824</v>
      </c>
      <c r="T73" s="198">
        <f t="shared" si="65"/>
        <v>0.8461538462</v>
      </c>
      <c r="U73" s="198">
        <f t="shared" si="65"/>
        <v>0.6363636364</v>
      </c>
      <c r="V73" s="198">
        <f t="shared" si="65"/>
        <v>0.6666666667</v>
      </c>
      <c r="W73" s="198">
        <f t="shared" si="65"/>
        <v>0.7</v>
      </c>
      <c r="X73" s="198">
        <f t="shared" si="65"/>
        <v>0.7037037037</v>
      </c>
      <c r="Y73" s="198">
        <f t="shared" si="65"/>
        <v>0.76</v>
      </c>
      <c r="Z73" s="198">
        <f t="shared" si="65"/>
        <v>0.6666666667</v>
      </c>
      <c r="AA73" s="198">
        <f t="shared" si="65"/>
        <v>0.7931034483</v>
      </c>
      <c r="AB73" s="198">
        <f t="shared" si="65"/>
        <v>0.6666666667</v>
      </c>
      <c r="AC73" s="198">
        <f t="shared" si="65"/>
        <v>0.6666666667</v>
      </c>
      <c r="AD73" s="198">
        <f t="shared" si="65"/>
        <v>0.7368421053</v>
      </c>
      <c r="AE73" s="198">
        <f t="shared" si="65"/>
        <v>0.7317073171</v>
      </c>
      <c r="AF73" s="109"/>
      <c r="AG73" s="109"/>
      <c r="AH73" s="109"/>
      <c r="AI73" s="109"/>
      <c r="AJ73" s="109"/>
      <c r="AK73" s="109"/>
      <c r="AL73" s="109"/>
      <c r="AM73" s="109"/>
      <c r="AN73" s="109"/>
      <c r="AO73" s="109"/>
      <c r="AP73" s="109"/>
      <c r="AQ73" s="109"/>
      <c r="AR73" s="109"/>
      <c r="AS73" s="109"/>
      <c r="AT73" s="109"/>
      <c r="AU73" s="109"/>
      <c r="AV73" s="109"/>
      <c r="AW73" s="109"/>
      <c r="AX73" s="109"/>
      <c r="AY73" s="109"/>
      <c r="AZ73" s="109"/>
      <c r="BA73" s="109"/>
      <c r="BB73" s="109"/>
      <c r="BC73" s="109"/>
      <c r="BD73" s="109"/>
      <c r="BE73" s="109"/>
      <c r="BF73" s="109"/>
      <c r="BG73" s="109"/>
      <c r="BH73" s="109"/>
      <c r="BI73" s="109"/>
      <c r="BJ73" s="109"/>
      <c r="BK73" s="109"/>
      <c r="BL73" s="109"/>
      <c r="BM73" s="109"/>
      <c r="BN73" s="109"/>
      <c r="BO73" s="109"/>
      <c r="BP73" s="109"/>
      <c r="BQ73" s="109"/>
      <c r="BR73" s="109"/>
      <c r="BS73" s="109"/>
      <c r="BT73" s="109"/>
      <c r="BU73" s="109"/>
      <c r="BV73" s="99"/>
    </row>
    <row r="74">
      <c r="A74" s="20"/>
      <c r="B74" s="20"/>
      <c r="C74" s="140" t="s">
        <v>84</v>
      </c>
      <c r="D74" s="109"/>
      <c r="E74" s="109"/>
      <c r="F74" s="109"/>
      <c r="G74" s="142" t="s">
        <v>38</v>
      </c>
      <c r="H74" s="199">
        <v>0.7366</v>
      </c>
      <c r="I74" s="199">
        <v>0.7465</v>
      </c>
      <c r="J74" s="200">
        <f t="shared" ref="J74:L74" si="66">SUMIFS($N74:$BU74,$N$18:$BU$18,J$18)</f>
        <v>0</v>
      </c>
      <c r="K74" s="112">
        <f t="shared" si="66"/>
        <v>0</v>
      </c>
      <c r="L74" s="112">
        <f t="shared" si="66"/>
        <v>0</v>
      </c>
      <c r="M74" s="20"/>
      <c r="N74" s="201">
        <v>0.7741608921068286</v>
      </c>
      <c r="O74" s="201">
        <v>0.7143900219517156</v>
      </c>
      <c r="P74" s="201">
        <v>0.6465856012818275</v>
      </c>
      <c r="Q74" s="201">
        <v>0.7268893620861065</v>
      </c>
      <c r="R74" s="201">
        <v>0.6382173375858227</v>
      </c>
      <c r="S74" s="201">
        <v>0.8633437098048392</v>
      </c>
      <c r="T74" s="201">
        <v>0.7727358012727729</v>
      </c>
      <c r="U74" s="201">
        <v>0.6735833792005832</v>
      </c>
      <c r="V74" s="201">
        <v>0.8750777506146755</v>
      </c>
      <c r="W74" s="201">
        <v>0.7452647844812829</v>
      </c>
      <c r="X74" s="201">
        <v>0.7366799280401841</v>
      </c>
      <c r="Y74" s="201">
        <v>0.6721099677736843</v>
      </c>
      <c r="Z74" s="201">
        <v>0.8370078184714932</v>
      </c>
      <c r="AA74" s="201">
        <v>0.6823229385953592</v>
      </c>
      <c r="AB74" s="201">
        <v>0.7722178454974695</v>
      </c>
      <c r="AC74" s="201">
        <v>0.7910609195806315</v>
      </c>
      <c r="AD74" s="201">
        <v>0.6310892932069474</v>
      </c>
      <c r="AE74" s="201">
        <v>0.7651532161442808</v>
      </c>
      <c r="AF74" s="109"/>
      <c r="AG74" s="109"/>
      <c r="AH74" s="109"/>
      <c r="AI74" s="109"/>
      <c r="AJ74" s="109"/>
      <c r="AK74" s="109"/>
      <c r="AL74" s="109"/>
      <c r="AM74" s="109"/>
      <c r="AN74" s="109"/>
      <c r="AO74" s="109"/>
      <c r="AP74" s="109"/>
      <c r="AQ74" s="109"/>
      <c r="AR74" s="109"/>
      <c r="AS74" s="109"/>
      <c r="AT74" s="109"/>
      <c r="AU74" s="109"/>
      <c r="AV74" s="109"/>
      <c r="AW74" s="109"/>
      <c r="AX74" s="109"/>
      <c r="AY74" s="109"/>
      <c r="AZ74" s="109"/>
      <c r="BA74" s="109"/>
      <c r="BB74" s="109"/>
      <c r="BC74" s="109"/>
      <c r="BD74" s="109"/>
      <c r="BE74" s="109"/>
      <c r="BF74" s="109"/>
      <c r="BG74" s="109"/>
      <c r="BH74" s="109"/>
      <c r="BI74" s="109"/>
      <c r="BJ74" s="109"/>
      <c r="BK74" s="109"/>
      <c r="BL74" s="109"/>
      <c r="BM74" s="109"/>
      <c r="BN74" s="109"/>
      <c r="BO74" s="109"/>
      <c r="BP74" s="109"/>
      <c r="BQ74" s="109"/>
      <c r="BR74" s="109"/>
      <c r="BS74" s="109"/>
      <c r="BT74" s="109"/>
      <c r="BU74" s="109"/>
      <c r="BV74" s="99"/>
    </row>
    <row r="75">
      <c r="A75" s="20"/>
      <c r="B75" s="20"/>
      <c r="C75" s="110" t="s">
        <v>85</v>
      </c>
      <c r="D75" s="143"/>
      <c r="E75" s="144"/>
      <c r="F75" s="136"/>
      <c r="G75" s="202" t="s">
        <v>38</v>
      </c>
      <c r="H75" s="199">
        <v>1.1185</v>
      </c>
      <c r="I75" s="199">
        <v>1.1296</v>
      </c>
      <c r="J75" s="200">
        <f t="shared" ref="J75:L75" si="67">SUMIFS($N75:$BU75,$N$18:$BU$18,J$18)</f>
        <v>0</v>
      </c>
      <c r="K75" s="112">
        <f t="shared" si="67"/>
        <v>0</v>
      </c>
      <c r="L75" s="112">
        <f t="shared" si="67"/>
        <v>0</v>
      </c>
      <c r="M75" s="20"/>
      <c r="N75" s="203">
        <v>1.1029474424080425</v>
      </c>
      <c r="O75" s="203">
        <v>1.1537521349068294</v>
      </c>
      <c r="P75" s="203">
        <v>1.2498158755117856</v>
      </c>
      <c r="Q75" s="203">
        <v>1.0214468837047368</v>
      </c>
      <c r="R75" s="203">
        <v>1.0383119159877214</v>
      </c>
      <c r="S75" s="203">
        <v>1.0357643741876166</v>
      </c>
      <c r="T75" s="203">
        <v>1.1883621966556293</v>
      </c>
      <c r="U75" s="203">
        <v>1.0136102309259414</v>
      </c>
      <c r="V75" s="203">
        <v>1.1807707579993687</v>
      </c>
      <c r="W75" s="203">
        <v>1.0744300757934766</v>
      </c>
      <c r="X75" s="203">
        <v>1.1369217856326255</v>
      </c>
      <c r="Y75" s="203">
        <v>1.2262530799192577</v>
      </c>
      <c r="Z75" s="203">
        <v>1.0399546372751736</v>
      </c>
      <c r="AA75" s="203">
        <v>1.1404046115585307</v>
      </c>
      <c r="AB75" s="203">
        <v>1.123320893593134</v>
      </c>
      <c r="AC75" s="203">
        <v>1.2399627551834742</v>
      </c>
      <c r="AD75" s="203">
        <v>1.091353859586671</v>
      </c>
      <c r="AE75" s="203">
        <v>1.14278541817884</v>
      </c>
      <c r="AF75" s="109"/>
      <c r="AG75" s="109"/>
      <c r="AH75" s="109"/>
      <c r="AI75" s="109"/>
      <c r="AJ75" s="109"/>
      <c r="AK75" s="109"/>
      <c r="AL75" s="109"/>
      <c r="AM75" s="109"/>
      <c r="AN75" s="109"/>
      <c r="AO75" s="109"/>
      <c r="AP75" s="109"/>
      <c r="AQ75" s="109"/>
      <c r="AR75" s="109"/>
      <c r="AS75" s="109"/>
      <c r="AT75" s="109"/>
      <c r="AU75" s="109"/>
      <c r="AV75" s="109"/>
      <c r="AW75" s="109"/>
      <c r="AX75" s="109"/>
      <c r="AY75" s="109"/>
      <c r="AZ75" s="109"/>
      <c r="BA75" s="109"/>
      <c r="BB75" s="109"/>
      <c r="BC75" s="109"/>
      <c r="BD75" s="109"/>
      <c r="BE75" s="109"/>
      <c r="BF75" s="109"/>
      <c r="BG75" s="109"/>
      <c r="BH75" s="109"/>
      <c r="BI75" s="109"/>
      <c r="BJ75" s="109"/>
      <c r="BK75" s="109"/>
      <c r="BL75" s="109"/>
      <c r="BM75" s="109"/>
      <c r="BN75" s="109"/>
      <c r="BO75" s="109"/>
      <c r="BP75" s="109"/>
      <c r="BQ75" s="109"/>
      <c r="BR75" s="109"/>
      <c r="BS75" s="109"/>
      <c r="BT75" s="109"/>
      <c r="BU75" s="109"/>
      <c r="BV75" s="99"/>
    </row>
    <row r="76">
      <c r="A76" s="20"/>
      <c r="B76" s="20"/>
      <c r="C76" s="109"/>
      <c r="D76" s="109"/>
      <c r="E76" s="109"/>
      <c r="F76" s="109"/>
      <c r="G76" s="109"/>
      <c r="H76" s="109"/>
      <c r="I76" s="109"/>
      <c r="J76" s="109"/>
      <c r="K76" s="109"/>
      <c r="L76" s="109"/>
      <c r="M76" s="20"/>
      <c r="N76" s="109"/>
      <c r="O76" s="109"/>
      <c r="P76" s="109"/>
      <c r="Q76" s="109"/>
      <c r="R76" s="109"/>
      <c r="S76" s="109"/>
      <c r="T76" s="109"/>
      <c r="U76" s="109"/>
      <c r="V76" s="109"/>
      <c r="W76" s="109"/>
      <c r="X76" s="109"/>
      <c r="Y76" s="109"/>
      <c r="Z76" s="109"/>
      <c r="AA76" s="109"/>
      <c r="AB76" s="109"/>
      <c r="AC76" s="109"/>
      <c r="AD76" s="109"/>
      <c r="AE76" s="109"/>
      <c r="AF76" s="109"/>
      <c r="AG76" s="109"/>
      <c r="AH76" s="109"/>
      <c r="AI76" s="109"/>
      <c r="AJ76" s="109"/>
      <c r="AK76" s="109"/>
      <c r="AL76" s="109"/>
      <c r="AM76" s="109"/>
      <c r="AN76" s="109"/>
      <c r="AO76" s="109"/>
      <c r="AP76" s="109"/>
      <c r="AQ76" s="109"/>
      <c r="AR76" s="109"/>
      <c r="AS76" s="109"/>
      <c r="AT76" s="109"/>
      <c r="AU76" s="109"/>
      <c r="AV76" s="109"/>
      <c r="AW76" s="109"/>
      <c r="AX76" s="109"/>
      <c r="AY76" s="109"/>
      <c r="AZ76" s="109"/>
      <c r="BA76" s="109"/>
      <c r="BB76" s="109"/>
      <c r="BC76" s="109"/>
      <c r="BD76" s="109"/>
      <c r="BE76" s="109"/>
      <c r="BF76" s="109"/>
      <c r="BG76" s="109"/>
      <c r="BH76" s="109"/>
      <c r="BI76" s="109"/>
      <c r="BJ76" s="109"/>
      <c r="BK76" s="109"/>
      <c r="BL76" s="109"/>
      <c r="BM76" s="109"/>
      <c r="BN76" s="109"/>
      <c r="BO76" s="109"/>
      <c r="BP76" s="109"/>
      <c r="BQ76" s="109"/>
      <c r="BR76" s="109"/>
      <c r="BS76" s="109"/>
      <c r="BT76" s="109"/>
      <c r="BU76" s="109"/>
      <c r="BV76" s="99"/>
    </row>
    <row r="77">
      <c r="A77" s="20"/>
      <c r="B77" s="20"/>
      <c r="C77" s="113" t="s">
        <v>86</v>
      </c>
      <c r="D77" s="204"/>
      <c r="E77" s="113"/>
      <c r="F77" s="114"/>
      <c r="G77" s="205" t="s">
        <v>33</v>
      </c>
      <c r="H77" s="112">
        <f t="shared" ref="H77:L77" si="68">SUMIFS($N77:$BU77,$N$18:$BU$18,H$18)</f>
        <v>71.70963203</v>
      </c>
      <c r="I77" s="112">
        <f t="shared" si="68"/>
        <v>71.70963203</v>
      </c>
      <c r="J77" s="112">
        <f t="shared" si="68"/>
        <v>0</v>
      </c>
      <c r="K77" s="112">
        <f t="shared" si="68"/>
        <v>0</v>
      </c>
      <c r="L77" s="112">
        <f t="shared" si="68"/>
        <v>0</v>
      </c>
      <c r="M77" s="20"/>
      <c r="N77" s="206">
        <f t="shared" ref="N77:AE77" si="69">1/(1-N73)</f>
        <v>4.571428571</v>
      </c>
      <c r="O77" s="206">
        <f t="shared" si="69"/>
        <v>3.727272727</v>
      </c>
      <c r="P77" s="206">
        <f t="shared" si="69"/>
        <v>3.818181818</v>
      </c>
      <c r="Q77" s="206">
        <f t="shared" si="69"/>
        <v>3.857142857</v>
      </c>
      <c r="R77" s="206">
        <f t="shared" si="69"/>
        <v>7</v>
      </c>
      <c r="S77" s="206">
        <f t="shared" si="69"/>
        <v>4.25</v>
      </c>
      <c r="T77" s="206">
        <f t="shared" si="69"/>
        <v>6.5</v>
      </c>
      <c r="U77" s="206">
        <f t="shared" si="69"/>
        <v>2.75</v>
      </c>
      <c r="V77" s="206">
        <f t="shared" si="69"/>
        <v>3</v>
      </c>
      <c r="W77" s="206">
        <f t="shared" si="69"/>
        <v>3.333333333</v>
      </c>
      <c r="X77" s="206">
        <f t="shared" si="69"/>
        <v>3.375</v>
      </c>
      <c r="Y77" s="206">
        <f t="shared" si="69"/>
        <v>4.166666667</v>
      </c>
      <c r="Z77" s="206">
        <f t="shared" si="69"/>
        <v>3</v>
      </c>
      <c r="AA77" s="206">
        <f t="shared" si="69"/>
        <v>4.833333333</v>
      </c>
      <c r="AB77" s="206">
        <f t="shared" si="69"/>
        <v>3</v>
      </c>
      <c r="AC77" s="206">
        <f t="shared" si="69"/>
        <v>3</v>
      </c>
      <c r="AD77" s="206">
        <f t="shared" si="69"/>
        <v>3.8</v>
      </c>
      <c r="AE77" s="206">
        <f t="shared" si="69"/>
        <v>3.727272727</v>
      </c>
      <c r="AF77" s="109"/>
      <c r="AG77" s="109"/>
      <c r="AH77" s="109"/>
      <c r="AI77" s="109"/>
      <c r="AJ77" s="109"/>
      <c r="AK77" s="109"/>
      <c r="AL77" s="109"/>
      <c r="AM77" s="109"/>
      <c r="AN77" s="109"/>
      <c r="AO77" s="109"/>
      <c r="AP77" s="109"/>
      <c r="AQ77" s="109"/>
      <c r="AR77" s="109"/>
      <c r="AS77" s="109"/>
      <c r="AT77" s="109"/>
      <c r="AU77" s="109"/>
      <c r="AV77" s="109"/>
      <c r="AW77" s="109"/>
      <c r="AX77" s="109"/>
      <c r="AY77" s="109"/>
      <c r="AZ77" s="109"/>
      <c r="BA77" s="109"/>
      <c r="BB77" s="109"/>
      <c r="BC77" s="109"/>
      <c r="BD77" s="109"/>
      <c r="BE77" s="109"/>
      <c r="BF77" s="109"/>
      <c r="BG77" s="109"/>
      <c r="BH77" s="109"/>
      <c r="BI77" s="109"/>
      <c r="BJ77" s="109"/>
      <c r="BK77" s="109"/>
      <c r="BL77" s="109"/>
      <c r="BM77" s="109"/>
      <c r="BN77" s="109"/>
      <c r="BO77" s="109"/>
      <c r="BP77" s="109"/>
      <c r="BQ77" s="109"/>
      <c r="BR77" s="109"/>
      <c r="BS77" s="109"/>
      <c r="BT77" s="109"/>
      <c r="BU77" s="109"/>
      <c r="BV77" s="99"/>
    </row>
    <row r="78">
      <c r="A78" s="20"/>
      <c r="B78" s="20"/>
      <c r="C78" s="110" t="s">
        <v>87</v>
      </c>
      <c r="D78" s="207"/>
      <c r="E78" s="110"/>
      <c r="F78" s="111"/>
      <c r="G78" s="106" t="s">
        <v>48</v>
      </c>
      <c r="H78" s="112">
        <f t="shared" ref="H78:I78" si="70">SUMIFS($N78:$BU78,$N$19:$BU$19,H$19)</f>
        <v>1021595.785</v>
      </c>
      <c r="I78" s="112">
        <f t="shared" si="70"/>
        <v>465139.4282</v>
      </c>
      <c r="J78" s="112">
        <f t="shared" ref="J78:L78" si="71">SUMIFS($N78:$BU78,$N$18:$BU$18,J$18)</f>
        <v>0</v>
      </c>
      <c r="K78" s="112">
        <f t="shared" si="71"/>
        <v>0</v>
      </c>
      <c r="L78" s="112">
        <f t="shared" si="71"/>
        <v>0</v>
      </c>
      <c r="M78" s="20"/>
      <c r="N78" s="208">
        <f t="shared" ref="N78:AE78" si="72">N35*N59/(1-N73)</f>
        <v>88007.09597</v>
      </c>
      <c r="O78" s="208">
        <f t="shared" si="72"/>
        <v>72915.9664</v>
      </c>
      <c r="P78" s="208">
        <f t="shared" si="72"/>
        <v>75963.47271</v>
      </c>
      <c r="Q78" s="208">
        <f t="shared" si="72"/>
        <v>77259.91239</v>
      </c>
      <c r="R78" s="208">
        <f t="shared" si="72"/>
        <v>140295.1458</v>
      </c>
      <c r="S78" s="208">
        <f t="shared" si="72"/>
        <v>85614.73117</v>
      </c>
      <c r="T78" s="208">
        <f t="shared" si="72"/>
        <v>132827.0016</v>
      </c>
      <c r="U78" s="208">
        <f t="shared" si="72"/>
        <v>56995.22094</v>
      </c>
      <c r="V78" s="208">
        <f t="shared" si="72"/>
        <v>62431.13873</v>
      </c>
      <c r="W78" s="208">
        <f t="shared" si="72"/>
        <v>70215.57564</v>
      </c>
      <c r="X78" s="208">
        <f t="shared" si="72"/>
        <v>71112.36802</v>
      </c>
      <c r="Y78" s="208">
        <f t="shared" si="72"/>
        <v>87958.15558</v>
      </c>
      <c r="Z78" s="208">
        <f t="shared" si="72"/>
        <v>64236.87326</v>
      </c>
      <c r="AA78" s="208">
        <f t="shared" si="72"/>
        <v>104766.8972</v>
      </c>
      <c r="AB78" s="208">
        <f t="shared" si="72"/>
        <v>65513.68212</v>
      </c>
      <c r="AC78" s="208">
        <f t="shared" si="72"/>
        <v>65831.73751</v>
      </c>
      <c r="AD78" s="208">
        <f t="shared" si="72"/>
        <v>83194.42765</v>
      </c>
      <c r="AE78" s="208">
        <f t="shared" si="72"/>
        <v>81595.81048</v>
      </c>
      <c r="AF78" s="109"/>
      <c r="AG78" s="109"/>
      <c r="AH78" s="109"/>
      <c r="AI78" s="109"/>
      <c r="AJ78" s="109"/>
      <c r="AK78" s="109"/>
      <c r="AL78" s="109"/>
      <c r="AM78" s="109"/>
      <c r="AN78" s="109"/>
      <c r="AO78" s="109"/>
      <c r="AP78" s="109"/>
      <c r="AQ78" s="109"/>
      <c r="AR78" s="109"/>
      <c r="AS78" s="109"/>
      <c r="AT78" s="109"/>
      <c r="AU78" s="109"/>
      <c r="AV78" s="109"/>
      <c r="AW78" s="109"/>
      <c r="AX78" s="109"/>
      <c r="AY78" s="109"/>
      <c r="AZ78" s="109"/>
      <c r="BA78" s="109"/>
      <c r="BB78" s="109"/>
      <c r="BC78" s="109"/>
      <c r="BD78" s="109"/>
      <c r="BE78" s="109"/>
      <c r="BF78" s="109"/>
      <c r="BG78" s="109"/>
      <c r="BH78" s="109"/>
      <c r="BI78" s="109"/>
      <c r="BJ78" s="109"/>
      <c r="BK78" s="109"/>
      <c r="BL78" s="109"/>
      <c r="BM78" s="109"/>
      <c r="BN78" s="109"/>
      <c r="BO78" s="109"/>
      <c r="BP78" s="109"/>
      <c r="BQ78" s="109"/>
      <c r="BR78" s="109"/>
      <c r="BS78" s="109"/>
      <c r="BT78" s="109"/>
      <c r="BU78" s="109"/>
      <c r="BV78" s="99"/>
    </row>
    <row r="79">
      <c r="A79" s="20"/>
      <c r="B79" s="20"/>
      <c r="C79" s="209" t="s">
        <v>88</v>
      </c>
      <c r="D79" s="210"/>
      <c r="E79" s="211"/>
      <c r="F79" s="140"/>
      <c r="G79" s="142" t="s">
        <v>48</v>
      </c>
      <c r="H79" s="112">
        <f t="shared" ref="H79:I79" si="73">SUMIFS($N79:$BU79,$N$19:$BU$19,H$19)</f>
        <v>359046.2153</v>
      </c>
      <c r="I79" s="112">
        <f t="shared" si="73"/>
        <v>180307.1807</v>
      </c>
      <c r="J79" s="112">
        <f t="shared" ref="J79:L79" si="74">SUMIFS($N79:$BU79,$N$18:$BU$18,J$18)</f>
        <v>0</v>
      </c>
      <c r="K79" s="112">
        <f t="shared" si="74"/>
        <v>0</v>
      </c>
      <c r="L79" s="112">
        <f t="shared" si="74"/>
        <v>0</v>
      </c>
      <c r="M79" s="20"/>
      <c r="N79" s="112">
        <f t="shared" ref="N79:AE79" si="75">N63*1000/N30</f>
        <v>37500</v>
      </c>
      <c r="O79" s="112">
        <f t="shared" si="75"/>
        <v>28571.42857</v>
      </c>
      <c r="P79" s="112">
        <f t="shared" si="75"/>
        <v>26086.95652</v>
      </c>
      <c r="Q79" s="112">
        <f t="shared" si="75"/>
        <v>31578.94737</v>
      </c>
      <c r="R79" s="112">
        <f t="shared" si="75"/>
        <v>33333.33333</v>
      </c>
      <c r="S79" s="112">
        <f t="shared" si="75"/>
        <v>21428.57143</v>
      </c>
      <c r="T79" s="112">
        <f t="shared" si="75"/>
        <v>24000</v>
      </c>
      <c r="U79" s="112">
        <f t="shared" si="75"/>
        <v>26086.95652</v>
      </c>
      <c r="V79" s="112">
        <f t="shared" si="75"/>
        <v>31578.94737</v>
      </c>
      <c r="W79" s="112">
        <f t="shared" si="75"/>
        <v>26086.95652</v>
      </c>
      <c r="X79" s="112">
        <f t="shared" si="75"/>
        <v>35294.11765</v>
      </c>
      <c r="Y79" s="112">
        <f t="shared" si="75"/>
        <v>37500</v>
      </c>
      <c r="Z79" s="112">
        <f t="shared" si="75"/>
        <v>27272.72727</v>
      </c>
      <c r="AA79" s="112">
        <f t="shared" si="75"/>
        <v>30000</v>
      </c>
      <c r="AB79" s="112">
        <f t="shared" si="75"/>
        <v>46153.84615</v>
      </c>
      <c r="AC79" s="112">
        <f t="shared" si="75"/>
        <v>28571.42857</v>
      </c>
      <c r="AD79" s="112">
        <f t="shared" si="75"/>
        <v>22222.22222</v>
      </c>
      <c r="AE79" s="112">
        <f t="shared" si="75"/>
        <v>26086.95652</v>
      </c>
      <c r="AF79" s="109"/>
      <c r="AG79" s="109"/>
      <c r="AH79" s="109"/>
      <c r="AI79" s="109"/>
      <c r="AJ79" s="109"/>
      <c r="AK79" s="109"/>
      <c r="AL79" s="109"/>
      <c r="AM79" s="109"/>
      <c r="AN79" s="109"/>
      <c r="AO79" s="109"/>
      <c r="AP79" s="109"/>
      <c r="AQ79" s="109"/>
      <c r="AR79" s="109"/>
      <c r="AS79" s="109"/>
      <c r="AT79" s="109"/>
      <c r="AU79" s="109"/>
      <c r="AV79" s="109"/>
      <c r="AW79" s="109"/>
      <c r="AX79" s="109"/>
      <c r="AY79" s="109"/>
      <c r="AZ79" s="109"/>
      <c r="BA79" s="109"/>
      <c r="BB79" s="109"/>
      <c r="BC79" s="109"/>
      <c r="BD79" s="109"/>
      <c r="BE79" s="109"/>
      <c r="BF79" s="109"/>
      <c r="BG79" s="109"/>
      <c r="BH79" s="109"/>
      <c r="BI79" s="109"/>
      <c r="BJ79" s="109"/>
      <c r="BK79" s="109"/>
      <c r="BL79" s="109"/>
      <c r="BM79" s="109"/>
      <c r="BN79" s="109"/>
      <c r="BO79" s="109"/>
      <c r="BP79" s="109"/>
      <c r="BQ79" s="109"/>
      <c r="BR79" s="109"/>
      <c r="BS79" s="109"/>
      <c r="BT79" s="109"/>
      <c r="BU79" s="109"/>
      <c r="BV79" s="99"/>
    </row>
    <row r="80">
      <c r="A80" s="20"/>
      <c r="B80" s="20"/>
      <c r="C80" s="212" t="s">
        <v>89</v>
      </c>
      <c r="D80" s="207"/>
      <c r="E80" s="110"/>
      <c r="F80" s="111"/>
      <c r="G80" s="106" t="s">
        <v>33</v>
      </c>
      <c r="H80" s="213">
        <f t="shared" ref="H80:I80" si="76">H78/H79</f>
        <v>2.845304424</v>
      </c>
      <c r="I80" s="213">
        <f t="shared" si="76"/>
        <v>2.579705513</v>
      </c>
      <c r="J80" s="112">
        <f t="shared" ref="J80:L80" si="77">SUMIFS($N80:$BU80,$N$18:$BU$18,J$18)</f>
        <v>0</v>
      </c>
      <c r="K80" s="112">
        <f t="shared" si="77"/>
        <v>0</v>
      </c>
      <c r="L80" s="112">
        <f t="shared" si="77"/>
        <v>0</v>
      </c>
      <c r="M80" s="20"/>
      <c r="N80" s="206">
        <f t="shared" ref="N80:AE80" si="78">N78/N79</f>
        <v>2.346855892</v>
      </c>
      <c r="O80" s="206">
        <f t="shared" si="78"/>
        <v>2.552058824</v>
      </c>
      <c r="P80" s="206">
        <f t="shared" si="78"/>
        <v>2.911933121</v>
      </c>
      <c r="Q80" s="206">
        <f t="shared" si="78"/>
        <v>2.446563892</v>
      </c>
      <c r="R80" s="206">
        <f t="shared" si="78"/>
        <v>4.208854373</v>
      </c>
      <c r="S80" s="206">
        <f t="shared" si="78"/>
        <v>3.995354121</v>
      </c>
      <c r="T80" s="206">
        <f t="shared" si="78"/>
        <v>5.534458401</v>
      </c>
      <c r="U80" s="206">
        <f t="shared" si="78"/>
        <v>2.184816803</v>
      </c>
      <c r="V80" s="206">
        <f t="shared" si="78"/>
        <v>1.97698606</v>
      </c>
      <c r="W80" s="206">
        <f t="shared" si="78"/>
        <v>2.691597066</v>
      </c>
      <c r="X80" s="206">
        <f t="shared" si="78"/>
        <v>2.014850427</v>
      </c>
      <c r="Y80" s="206">
        <f t="shared" si="78"/>
        <v>2.345550815</v>
      </c>
      <c r="Z80" s="206">
        <f t="shared" si="78"/>
        <v>2.355352019</v>
      </c>
      <c r="AA80" s="206">
        <f t="shared" si="78"/>
        <v>3.492229907</v>
      </c>
      <c r="AB80" s="206">
        <f t="shared" si="78"/>
        <v>1.419463113</v>
      </c>
      <c r="AC80" s="206">
        <f t="shared" si="78"/>
        <v>2.304110813</v>
      </c>
      <c r="AD80" s="206">
        <f t="shared" si="78"/>
        <v>3.743749244</v>
      </c>
      <c r="AE80" s="206">
        <f t="shared" si="78"/>
        <v>3.127839402</v>
      </c>
      <c r="AF80" s="109"/>
      <c r="AG80" s="109"/>
      <c r="AH80" s="109"/>
      <c r="AI80" s="109"/>
      <c r="AJ80" s="109"/>
      <c r="AK80" s="109"/>
      <c r="AL80" s="109"/>
      <c r="AM80" s="109"/>
      <c r="AN80" s="109"/>
      <c r="AO80" s="109"/>
      <c r="AP80" s="109"/>
      <c r="AQ80" s="109"/>
      <c r="AR80" s="109"/>
      <c r="AS80" s="109"/>
      <c r="AT80" s="109"/>
      <c r="AU80" s="109"/>
      <c r="AV80" s="109"/>
      <c r="AW80" s="109"/>
      <c r="AX80" s="109"/>
      <c r="AY80" s="109"/>
      <c r="AZ80" s="109"/>
      <c r="BA80" s="109"/>
      <c r="BB80" s="109"/>
      <c r="BC80" s="109"/>
      <c r="BD80" s="109"/>
      <c r="BE80" s="109"/>
      <c r="BF80" s="109"/>
      <c r="BG80" s="109"/>
      <c r="BH80" s="109"/>
      <c r="BI80" s="109"/>
      <c r="BJ80" s="109"/>
      <c r="BK80" s="109"/>
      <c r="BL80" s="109"/>
      <c r="BM80" s="109"/>
      <c r="BN80" s="109"/>
      <c r="BO80" s="109"/>
      <c r="BP80" s="109"/>
      <c r="BQ80" s="109"/>
      <c r="BR80" s="109"/>
      <c r="BS80" s="109"/>
      <c r="BT80" s="109"/>
      <c r="BU80" s="109"/>
      <c r="BV80" s="99"/>
    </row>
    <row r="8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0"/>
      <c r="AZ81" s="20"/>
      <c r="BA81" s="20"/>
      <c r="BB81" s="20"/>
      <c r="BC81" s="20"/>
      <c r="BD81" s="20"/>
      <c r="BE81" s="20"/>
      <c r="BF81" s="20"/>
      <c r="BG81" s="20"/>
      <c r="BH81" s="20"/>
      <c r="BI81" s="20"/>
      <c r="BJ81" s="20"/>
      <c r="BK81" s="20"/>
      <c r="BL81" s="20"/>
      <c r="BM81" s="20"/>
      <c r="BN81" s="20"/>
      <c r="BO81" s="20"/>
      <c r="BP81" s="20"/>
      <c r="BQ81" s="20"/>
      <c r="BR81" s="20"/>
      <c r="BS81" s="20"/>
      <c r="BT81" s="20"/>
      <c r="BU81" s="20"/>
      <c r="BV81" s="99"/>
    </row>
    <row r="82">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c r="BA82" s="20"/>
      <c r="BB82" s="20"/>
      <c r="BC82" s="20"/>
      <c r="BD82" s="20"/>
      <c r="BE82" s="20"/>
      <c r="BF82" s="20"/>
      <c r="BG82" s="20"/>
      <c r="BH82" s="20"/>
      <c r="BI82" s="20"/>
      <c r="BJ82" s="20"/>
      <c r="BK82" s="20"/>
      <c r="BL82" s="20"/>
      <c r="BM82" s="20"/>
      <c r="BN82" s="20"/>
      <c r="BO82" s="20"/>
      <c r="BP82" s="20"/>
      <c r="BQ82" s="20"/>
      <c r="BR82" s="20"/>
      <c r="BS82" s="20"/>
      <c r="BT82" s="20"/>
      <c r="BU82" s="20"/>
      <c r="BV82" s="99"/>
    </row>
  </sheetData>
  <mergeCells count="11">
    <mergeCell ref="C77:D77"/>
    <mergeCell ref="C78:D78"/>
    <mergeCell ref="C79:D79"/>
    <mergeCell ref="C80:D80"/>
    <mergeCell ref="C4:E4"/>
    <mergeCell ref="C5:E5"/>
    <mergeCell ref="C6:E6"/>
    <mergeCell ref="C7:F7"/>
    <mergeCell ref="C43:D43"/>
    <mergeCell ref="C44:D44"/>
    <mergeCell ref="C45:D45"/>
  </mergeCells>
  <conditionalFormatting sqref="J9">
    <cfRule type="notContainsBlanks" dxfId="3" priority="1">
      <formula>LEN(TRIM(J9))&gt;0</formula>
    </cfRule>
  </conditionalFormatting>
  <conditionalFormatting sqref="AF9">
    <cfRule type="colorScale" priority="2">
      <colorScale>
        <cfvo type="min"/>
        <cfvo type="max"/>
        <color rgb="FF57BB8A"/>
        <color rgb="FFFFFFFF"/>
      </colorScale>
    </cfRule>
  </conditionalFormatting>
  <conditionalFormatting sqref="AE9">
    <cfRule type="notContainsBlanks" dxfId="3" priority="3">
      <formula>LEN(TRIM(AE9))&gt;0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6.0" ySplit="10.0" topLeftCell="G11" activePane="bottomRight" state="frozen"/>
      <selection activeCell="G1" sqref="G1" pane="topRight"/>
      <selection activeCell="A11" sqref="A11" pane="bottomLeft"/>
      <selection activeCell="G11" sqref="G11" pane="bottomRight"/>
    </sheetView>
  </sheetViews>
  <sheetFormatPr customHeight="1" defaultColWidth="12.63" defaultRowHeight="15.75" outlineLevelRow="1"/>
  <cols>
    <col customWidth="1" min="1" max="1" width="3.88"/>
    <col customWidth="1" min="2" max="2" width="20.88"/>
    <col customWidth="1" min="3" max="5" width="10.13"/>
    <col customWidth="1" min="6" max="6" width="10.63"/>
    <col customWidth="1" min="7" max="7" width="12.88"/>
    <col customWidth="1" min="11" max="11" width="11.25"/>
    <col customWidth="1" min="12" max="12" width="3.25"/>
    <col customWidth="1" min="73" max="73" width="2.75"/>
  </cols>
  <sheetData>
    <row r="1">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row>
    <row r="2">
      <c r="A2" s="20"/>
      <c r="B2" s="21" t="s">
        <v>90</v>
      </c>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row>
    <row r="3">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row>
    <row r="4">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row>
    <row r="5">
      <c r="A5" s="20"/>
      <c r="B5" s="20"/>
      <c r="C5" s="20"/>
      <c r="D5" s="20"/>
      <c r="E5" s="20"/>
      <c r="F5" s="77"/>
      <c r="G5" s="78" t="str">
        <f t="shared" ref="G5:K5" si="1">IF(G13=1,"Actual","Forecast")</f>
        <v>Actual</v>
      </c>
      <c r="H5" s="78" t="str">
        <f t="shared" si="1"/>
        <v>Actual</v>
      </c>
      <c r="I5" s="79" t="str">
        <f t="shared" si="1"/>
        <v>Forecast</v>
      </c>
      <c r="J5" s="79" t="str">
        <f t="shared" si="1"/>
        <v>Forecast</v>
      </c>
      <c r="K5" s="79" t="str">
        <f t="shared" si="1"/>
        <v>Forecast</v>
      </c>
      <c r="L5" s="20"/>
      <c r="M5" s="214" t="str">
        <f t="shared" ref="M5:BT5" si="2">IF(M13=1,"Actual","Forecast")</f>
        <v>Actual</v>
      </c>
      <c r="N5" s="214" t="str">
        <f t="shared" si="2"/>
        <v>Actual</v>
      </c>
      <c r="O5" s="78" t="str">
        <f t="shared" si="2"/>
        <v>Actual</v>
      </c>
      <c r="P5" s="78" t="str">
        <f t="shared" si="2"/>
        <v>Actual</v>
      </c>
      <c r="Q5" s="78" t="str">
        <f t="shared" si="2"/>
        <v>Actual</v>
      </c>
      <c r="R5" s="78" t="str">
        <f t="shared" si="2"/>
        <v>Actual</v>
      </c>
      <c r="S5" s="78" t="str">
        <f t="shared" si="2"/>
        <v>Actual</v>
      </c>
      <c r="T5" s="78" t="str">
        <f t="shared" si="2"/>
        <v>Actual</v>
      </c>
      <c r="U5" s="78" t="str">
        <f t="shared" si="2"/>
        <v>Actual</v>
      </c>
      <c r="V5" s="78" t="str">
        <f t="shared" si="2"/>
        <v>Actual</v>
      </c>
      <c r="W5" s="78" t="str">
        <f t="shared" si="2"/>
        <v>Actual</v>
      </c>
      <c r="X5" s="78" t="str">
        <f t="shared" si="2"/>
        <v>Actual</v>
      </c>
      <c r="Y5" s="78" t="str">
        <f t="shared" si="2"/>
        <v>Actual</v>
      </c>
      <c r="Z5" s="78" t="str">
        <f t="shared" si="2"/>
        <v>Actual</v>
      </c>
      <c r="AA5" s="78" t="str">
        <f t="shared" si="2"/>
        <v>Actual</v>
      </c>
      <c r="AB5" s="78" t="str">
        <f t="shared" si="2"/>
        <v>Actual</v>
      </c>
      <c r="AC5" s="78" t="str">
        <f t="shared" si="2"/>
        <v>Actual</v>
      </c>
      <c r="AD5" s="78" t="str">
        <f t="shared" si="2"/>
        <v>Actual</v>
      </c>
      <c r="AE5" s="79" t="str">
        <f t="shared" si="2"/>
        <v>Forecast</v>
      </c>
      <c r="AF5" s="79" t="str">
        <f t="shared" si="2"/>
        <v>Forecast</v>
      </c>
      <c r="AG5" s="79" t="str">
        <f t="shared" si="2"/>
        <v>Forecast</v>
      </c>
      <c r="AH5" s="79" t="str">
        <f t="shared" si="2"/>
        <v>Forecast</v>
      </c>
      <c r="AI5" s="79" t="str">
        <f t="shared" si="2"/>
        <v>Forecast</v>
      </c>
      <c r="AJ5" s="79" t="str">
        <f t="shared" si="2"/>
        <v>Forecast</v>
      </c>
      <c r="AK5" s="79" t="str">
        <f t="shared" si="2"/>
        <v>Forecast</v>
      </c>
      <c r="AL5" s="79" t="str">
        <f t="shared" si="2"/>
        <v>Forecast</v>
      </c>
      <c r="AM5" s="79" t="str">
        <f t="shared" si="2"/>
        <v>Forecast</v>
      </c>
      <c r="AN5" s="79" t="str">
        <f t="shared" si="2"/>
        <v>Forecast</v>
      </c>
      <c r="AO5" s="79" t="str">
        <f t="shared" si="2"/>
        <v>Forecast</v>
      </c>
      <c r="AP5" s="79" t="str">
        <f t="shared" si="2"/>
        <v>Forecast</v>
      </c>
      <c r="AQ5" s="79" t="str">
        <f t="shared" si="2"/>
        <v>Forecast</v>
      </c>
      <c r="AR5" s="79" t="str">
        <f t="shared" si="2"/>
        <v>Forecast</v>
      </c>
      <c r="AS5" s="79" t="str">
        <f t="shared" si="2"/>
        <v>Forecast</v>
      </c>
      <c r="AT5" s="79" t="str">
        <f t="shared" si="2"/>
        <v>Forecast</v>
      </c>
      <c r="AU5" s="79" t="str">
        <f t="shared" si="2"/>
        <v>Forecast</v>
      </c>
      <c r="AV5" s="79" t="str">
        <f t="shared" si="2"/>
        <v>Forecast</v>
      </c>
      <c r="AW5" s="79" t="str">
        <f t="shared" si="2"/>
        <v>Forecast</v>
      </c>
      <c r="AX5" s="79" t="str">
        <f t="shared" si="2"/>
        <v>Forecast</v>
      </c>
      <c r="AY5" s="79" t="str">
        <f t="shared" si="2"/>
        <v>Forecast</v>
      </c>
      <c r="AZ5" s="79" t="str">
        <f t="shared" si="2"/>
        <v>Forecast</v>
      </c>
      <c r="BA5" s="79" t="str">
        <f t="shared" si="2"/>
        <v>Forecast</v>
      </c>
      <c r="BB5" s="79" t="str">
        <f t="shared" si="2"/>
        <v>Forecast</v>
      </c>
      <c r="BC5" s="79" t="str">
        <f t="shared" si="2"/>
        <v>Forecast</v>
      </c>
      <c r="BD5" s="79" t="str">
        <f t="shared" si="2"/>
        <v>Forecast</v>
      </c>
      <c r="BE5" s="79" t="str">
        <f t="shared" si="2"/>
        <v>Forecast</v>
      </c>
      <c r="BF5" s="79" t="str">
        <f t="shared" si="2"/>
        <v>Forecast</v>
      </c>
      <c r="BG5" s="79" t="str">
        <f t="shared" si="2"/>
        <v>Forecast</v>
      </c>
      <c r="BH5" s="79" t="str">
        <f t="shared" si="2"/>
        <v>Forecast</v>
      </c>
      <c r="BI5" s="79" t="str">
        <f t="shared" si="2"/>
        <v>Forecast</v>
      </c>
      <c r="BJ5" s="79" t="str">
        <f t="shared" si="2"/>
        <v>Forecast</v>
      </c>
      <c r="BK5" s="79" t="str">
        <f t="shared" si="2"/>
        <v>Forecast</v>
      </c>
      <c r="BL5" s="79" t="str">
        <f t="shared" si="2"/>
        <v>Forecast</v>
      </c>
      <c r="BM5" s="79" t="str">
        <f t="shared" si="2"/>
        <v>Forecast</v>
      </c>
      <c r="BN5" s="79" t="str">
        <f t="shared" si="2"/>
        <v>Forecast</v>
      </c>
      <c r="BO5" s="79" t="str">
        <f t="shared" si="2"/>
        <v>Forecast</v>
      </c>
      <c r="BP5" s="79" t="str">
        <f t="shared" si="2"/>
        <v>Forecast</v>
      </c>
      <c r="BQ5" s="79" t="str">
        <f t="shared" si="2"/>
        <v>Forecast</v>
      </c>
      <c r="BR5" s="79" t="str">
        <f t="shared" si="2"/>
        <v>Forecast</v>
      </c>
      <c r="BS5" s="79" t="str">
        <f t="shared" si="2"/>
        <v>Forecast</v>
      </c>
      <c r="BT5" s="79" t="str">
        <f t="shared" si="2"/>
        <v>Forecast</v>
      </c>
      <c r="BU5" s="20"/>
    </row>
    <row r="6" collapsed="1">
      <c r="A6" s="20"/>
      <c r="B6" s="20"/>
      <c r="C6" s="20"/>
      <c r="D6" s="20"/>
      <c r="E6" s="20"/>
      <c r="F6" s="81"/>
      <c r="G6" s="82">
        <f t="shared" ref="G6:K6" si="3">G7</f>
        <v>44562</v>
      </c>
      <c r="H6" s="83">
        <f t="shared" si="3"/>
        <v>44927</v>
      </c>
      <c r="I6" s="82">
        <f t="shared" si="3"/>
        <v>45292</v>
      </c>
      <c r="J6" s="83">
        <f t="shared" si="3"/>
        <v>45658</v>
      </c>
      <c r="K6" s="82">
        <f t="shared" si="3"/>
        <v>46023</v>
      </c>
      <c r="L6" s="20"/>
      <c r="M6" s="84">
        <f t="shared" ref="M6:BT6" si="4">M7</f>
        <v>44562</v>
      </c>
      <c r="N6" s="85">
        <f t="shared" si="4"/>
        <v>44593</v>
      </c>
      <c r="O6" s="85">
        <f t="shared" si="4"/>
        <v>44621</v>
      </c>
      <c r="P6" s="85">
        <f t="shared" si="4"/>
        <v>44652</v>
      </c>
      <c r="Q6" s="85">
        <f t="shared" si="4"/>
        <v>44682</v>
      </c>
      <c r="R6" s="85">
        <f t="shared" si="4"/>
        <v>44713</v>
      </c>
      <c r="S6" s="85">
        <f t="shared" si="4"/>
        <v>44743</v>
      </c>
      <c r="T6" s="85">
        <f t="shared" si="4"/>
        <v>44774</v>
      </c>
      <c r="U6" s="85">
        <f t="shared" si="4"/>
        <v>44805</v>
      </c>
      <c r="V6" s="85">
        <f t="shared" si="4"/>
        <v>44835</v>
      </c>
      <c r="W6" s="85">
        <f t="shared" si="4"/>
        <v>44866</v>
      </c>
      <c r="X6" s="85">
        <f t="shared" si="4"/>
        <v>44896</v>
      </c>
      <c r="Y6" s="85">
        <f t="shared" si="4"/>
        <v>44927</v>
      </c>
      <c r="Z6" s="85">
        <f t="shared" si="4"/>
        <v>44958</v>
      </c>
      <c r="AA6" s="85">
        <f t="shared" si="4"/>
        <v>44986</v>
      </c>
      <c r="AB6" s="85">
        <f t="shared" si="4"/>
        <v>45017</v>
      </c>
      <c r="AC6" s="85">
        <f t="shared" si="4"/>
        <v>45047</v>
      </c>
      <c r="AD6" s="85">
        <f t="shared" si="4"/>
        <v>45078</v>
      </c>
      <c r="AE6" s="85">
        <f t="shared" si="4"/>
        <v>45108</v>
      </c>
      <c r="AF6" s="85">
        <f t="shared" si="4"/>
        <v>45139</v>
      </c>
      <c r="AG6" s="85">
        <f t="shared" si="4"/>
        <v>45170</v>
      </c>
      <c r="AH6" s="85">
        <f t="shared" si="4"/>
        <v>45200</v>
      </c>
      <c r="AI6" s="85">
        <f t="shared" si="4"/>
        <v>45231</v>
      </c>
      <c r="AJ6" s="85">
        <f t="shared" si="4"/>
        <v>45261</v>
      </c>
      <c r="AK6" s="85">
        <f t="shared" si="4"/>
        <v>45292</v>
      </c>
      <c r="AL6" s="85">
        <f t="shared" si="4"/>
        <v>45323</v>
      </c>
      <c r="AM6" s="85">
        <f t="shared" si="4"/>
        <v>45352</v>
      </c>
      <c r="AN6" s="85">
        <f t="shared" si="4"/>
        <v>45383</v>
      </c>
      <c r="AO6" s="85">
        <f t="shared" si="4"/>
        <v>45413</v>
      </c>
      <c r="AP6" s="85">
        <f t="shared" si="4"/>
        <v>45444</v>
      </c>
      <c r="AQ6" s="85">
        <f t="shared" si="4"/>
        <v>45474</v>
      </c>
      <c r="AR6" s="85">
        <f t="shared" si="4"/>
        <v>45505</v>
      </c>
      <c r="AS6" s="85">
        <f t="shared" si="4"/>
        <v>45536</v>
      </c>
      <c r="AT6" s="85">
        <f t="shared" si="4"/>
        <v>45566</v>
      </c>
      <c r="AU6" s="85">
        <f t="shared" si="4"/>
        <v>45597</v>
      </c>
      <c r="AV6" s="85">
        <f t="shared" si="4"/>
        <v>45627</v>
      </c>
      <c r="AW6" s="85">
        <f t="shared" si="4"/>
        <v>45658</v>
      </c>
      <c r="AX6" s="85">
        <f t="shared" si="4"/>
        <v>45689</v>
      </c>
      <c r="AY6" s="85">
        <f t="shared" si="4"/>
        <v>45717</v>
      </c>
      <c r="AZ6" s="85">
        <f t="shared" si="4"/>
        <v>45748</v>
      </c>
      <c r="BA6" s="85">
        <f t="shared" si="4"/>
        <v>45778</v>
      </c>
      <c r="BB6" s="85">
        <f t="shared" si="4"/>
        <v>45809</v>
      </c>
      <c r="BC6" s="85">
        <f t="shared" si="4"/>
        <v>45839</v>
      </c>
      <c r="BD6" s="85">
        <f t="shared" si="4"/>
        <v>45870</v>
      </c>
      <c r="BE6" s="85">
        <f t="shared" si="4"/>
        <v>45901</v>
      </c>
      <c r="BF6" s="85">
        <f t="shared" si="4"/>
        <v>45931</v>
      </c>
      <c r="BG6" s="85">
        <f t="shared" si="4"/>
        <v>45962</v>
      </c>
      <c r="BH6" s="85">
        <f t="shared" si="4"/>
        <v>45992</v>
      </c>
      <c r="BI6" s="85">
        <f t="shared" si="4"/>
        <v>46023</v>
      </c>
      <c r="BJ6" s="85">
        <f t="shared" si="4"/>
        <v>46054</v>
      </c>
      <c r="BK6" s="85">
        <f t="shared" si="4"/>
        <v>46082</v>
      </c>
      <c r="BL6" s="85">
        <f t="shared" si="4"/>
        <v>46113</v>
      </c>
      <c r="BM6" s="85">
        <f t="shared" si="4"/>
        <v>46143</v>
      </c>
      <c r="BN6" s="85">
        <f t="shared" si="4"/>
        <v>46174</v>
      </c>
      <c r="BO6" s="85">
        <f t="shared" si="4"/>
        <v>46204</v>
      </c>
      <c r="BP6" s="85">
        <f t="shared" si="4"/>
        <v>46235</v>
      </c>
      <c r="BQ6" s="85">
        <f t="shared" si="4"/>
        <v>46266</v>
      </c>
      <c r="BR6" s="85">
        <f t="shared" si="4"/>
        <v>46296</v>
      </c>
      <c r="BS6" s="85">
        <f t="shared" si="4"/>
        <v>46327</v>
      </c>
      <c r="BT6" s="85">
        <f t="shared" si="4"/>
        <v>46357</v>
      </c>
      <c r="BU6" s="86"/>
    </row>
    <row r="7" hidden="1" outlineLevel="1">
      <c r="A7" s="20"/>
      <c r="B7" s="20"/>
      <c r="C7" s="20"/>
      <c r="D7" s="20"/>
      <c r="E7" s="20"/>
      <c r="F7" s="215" t="s">
        <v>91</v>
      </c>
      <c r="G7" s="88">
        <f>'Key Assumptions'!D13</f>
        <v>44562</v>
      </c>
      <c r="H7" s="89">
        <f t="shared" ref="H7:K7" si="5">G8+1</f>
        <v>44927</v>
      </c>
      <c r="I7" s="89">
        <f t="shared" si="5"/>
        <v>45292</v>
      </c>
      <c r="J7" s="89">
        <f t="shared" si="5"/>
        <v>45658</v>
      </c>
      <c r="K7" s="89">
        <f t="shared" si="5"/>
        <v>46023</v>
      </c>
      <c r="L7" s="20"/>
      <c r="M7" s="88">
        <f>'Key Assumptions'!D13</f>
        <v>44562</v>
      </c>
      <c r="N7" s="89">
        <f t="shared" ref="N7:BT7" si="6">M8+1</f>
        <v>44593</v>
      </c>
      <c r="O7" s="89">
        <f t="shared" si="6"/>
        <v>44621</v>
      </c>
      <c r="P7" s="89">
        <f t="shared" si="6"/>
        <v>44652</v>
      </c>
      <c r="Q7" s="89">
        <f t="shared" si="6"/>
        <v>44682</v>
      </c>
      <c r="R7" s="89">
        <f t="shared" si="6"/>
        <v>44713</v>
      </c>
      <c r="S7" s="89">
        <f t="shared" si="6"/>
        <v>44743</v>
      </c>
      <c r="T7" s="89">
        <f t="shared" si="6"/>
        <v>44774</v>
      </c>
      <c r="U7" s="89">
        <f t="shared" si="6"/>
        <v>44805</v>
      </c>
      <c r="V7" s="89">
        <f t="shared" si="6"/>
        <v>44835</v>
      </c>
      <c r="W7" s="89">
        <f t="shared" si="6"/>
        <v>44866</v>
      </c>
      <c r="X7" s="89">
        <f t="shared" si="6"/>
        <v>44896</v>
      </c>
      <c r="Y7" s="89">
        <f t="shared" si="6"/>
        <v>44927</v>
      </c>
      <c r="Z7" s="89">
        <f t="shared" si="6"/>
        <v>44958</v>
      </c>
      <c r="AA7" s="89">
        <f t="shared" si="6"/>
        <v>44986</v>
      </c>
      <c r="AB7" s="89">
        <f t="shared" si="6"/>
        <v>45017</v>
      </c>
      <c r="AC7" s="89">
        <f t="shared" si="6"/>
        <v>45047</v>
      </c>
      <c r="AD7" s="89">
        <f t="shared" si="6"/>
        <v>45078</v>
      </c>
      <c r="AE7" s="89">
        <f t="shared" si="6"/>
        <v>45108</v>
      </c>
      <c r="AF7" s="89">
        <f t="shared" si="6"/>
        <v>45139</v>
      </c>
      <c r="AG7" s="89">
        <f t="shared" si="6"/>
        <v>45170</v>
      </c>
      <c r="AH7" s="89">
        <f t="shared" si="6"/>
        <v>45200</v>
      </c>
      <c r="AI7" s="89">
        <f t="shared" si="6"/>
        <v>45231</v>
      </c>
      <c r="AJ7" s="89">
        <f t="shared" si="6"/>
        <v>45261</v>
      </c>
      <c r="AK7" s="89">
        <f t="shared" si="6"/>
        <v>45292</v>
      </c>
      <c r="AL7" s="89">
        <f t="shared" si="6"/>
        <v>45323</v>
      </c>
      <c r="AM7" s="89">
        <f t="shared" si="6"/>
        <v>45352</v>
      </c>
      <c r="AN7" s="89">
        <f t="shared" si="6"/>
        <v>45383</v>
      </c>
      <c r="AO7" s="89">
        <f t="shared" si="6"/>
        <v>45413</v>
      </c>
      <c r="AP7" s="89">
        <f t="shared" si="6"/>
        <v>45444</v>
      </c>
      <c r="AQ7" s="89">
        <f t="shared" si="6"/>
        <v>45474</v>
      </c>
      <c r="AR7" s="89">
        <f t="shared" si="6"/>
        <v>45505</v>
      </c>
      <c r="AS7" s="89">
        <f t="shared" si="6"/>
        <v>45536</v>
      </c>
      <c r="AT7" s="89">
        <f t="shared" si="6"/>
        <v>45566</v>
      </c>
      <c r="AU7" s="89">
        <f t="shared" si="6"/>
        <v>45597</v>
      </c>
      <c r="AV7" s="89">
        <f t="shared" si="6"/>
        <v>45627</v>
      </c>
      <c r="AW7" s="89">
        <f t="shared" si="6"/>
        <v>45658</v>
      </c>
      <c r="AX7" s="89">
        <f t="shared" si="6"/>
        <v>45689</v>
      </c>
      <c r="AY7" s="89">
        <f t="shared" si="6"/>
        <v>45717</v>
      </c>
      <c r="AZ7" s="89">
        <f t="shared" si="6"/>
        <v>45748</v>
      </c>
      <c r="BA7" s="89">
        <f t="shared" si="6"/>
        <v>45778</v>
      </c>
      <c r="BB7" s="89">
        <f t="shared" si="6"/>
        <v>45809</v>
      </c>
      <c r="BC7" s="89">
        <f t="shared" si="6"/>
        <v>45839</v>
      </c>
      <c r="BD7" s="89">
        <f t="shared" si="6"/>
        <v>45870</v>
      </c>
      <c r="BE7" s="89">
        <f t="shared" si="6"/>
        <v>45901</v>
      </c>
      <c r="BF7" s="89">
        <f t="shared" si="6"/>
        <v>45931</v>
      </c>
      <c r="BG7" s="89">
        <f t="shared" si="6"/>
        <v>45962</v>
      </c>
      <c r="BH7" s="89">
        <f t="shared" si="6"/>
        <v>45992</v>
      </c>
      <c r="BI7" s="89">
        <f t="shared" si="6"/>
        <v>46023</v>
      </c>
      <c r="BJ7" s="89">
        <f t="shared" si="6"/>
        <v>46054</v>
      </c>
      <c r="BK7" s="89">
        <f t="shared" si="6"/>
        <v>46082</v>
      </c>
      <c r="BL7" s="89">
        <f t="shared" si="6"/>
        <v>46113</v>
      </c>
      <c r="BM7" s="89">
        <f t="shared" si="6"/>
        <v>46143</v>
      </c>
      <c r="BN7" s="89">
        <f t="shared" si="6"/>
        <v>46174</v>
      </c>
      <c r="BO7" s="89">
        <f t="shared" si="6"/>
        <v>46204</v>
      </c>
      <c r="BP7" s="89">
        <f t="shared" si="6"/>
        <v>46235</v>
      </c>
      <c r="BQ7" s="89">
        <f t="shared" si="6"/>
        <v>46266</v>
      </c>
      <c r="BR7" s="89">
        <f t="shared" si="6"/>
        <v>46296</v>
      </c>
      <c r="BS7" s="89">
        <f t="shared" si="6"/>
        <v>46327</v>
      </c>
      <c r="BT7" s="89">
        <f t="shared" si="6"/>
        <v>46357</v>
      </c>
      <c r="BU7" s="20"/>
    </row>
    <row r="8" hidden="1" outlineLevel="1">
      <c r="A8" s="20"/>
      <c r="B8" s="20"/>
      <c r="C8" s="20"/>
      <c r="D8" s="20"/>
      <c r="E8" s="20"/>
      <c r="F8" s="215" t="s">
        <v>92</v>
      </c>
      <c r="G8" s="92">
        <f t="shared" ref="G8:K8" si="7">EOMONTH(G7,11)</f>
        <v>44926</v>
      </c>
      <c r="H8" s="92">
        <f t="shared" si="7"/>
        <v>45291</v>
      </c>
      <c r="I8" s="92">
        <f t="shared" si="7"/>
        <v>45657</v>
      </c>
      <c r="J8" s="92">
        <f t="shared" si="7"/>
        <v>46022</v>
      </c>
      <c r="K8" s="92">
        <f t="shared" si="7"/>
        <v>46387</v>
      </c>
      <c r="L8" s="20"/>
      <c r="M8" s="92">
        <f t="shared" ref="M8:BT8" si="8">EOMONTH(M7,0)</f>
        <v>44592</v>
      </c>
      <c r="N8" s="92">
        <f t="shared" si="8"/>
        <v>44620</v>
      </c>
      <c r="O8" s="92">
        <f t="shared" si="8"/>
        <v>44651</v>
      </c>
      <c r="P8" s="92">
        <f t="shared" si="8"/>
        <v>44681</v>
      </c>
      <c r="Q8" s="92">
        <f t="shared" si="8"/>
        <v>44712</v>
      </c>
      <c r="R8" s="92">
        <f t="shared" si="8"/>
        <v>44742</v>
      </c>
      <c r="S8" s="92">
        <f t="shared" si="8"/>
        <v>44773</v>
      </c>
      <c r="T8" s="92">
        <f t="shared" si="8"/>
        <v>44804</v>
      </c>
      <c r="U8" s="92">
        <f t="shared" si="8"/>
        <v>44834</v>
      </c>
      <c r="V8" s="92">
        <f t="shared" si="8"/>
        <v>44865</v>
      </c>
      <c r="W8" s="92">
        <f t="shared" si="8"/>
        <v>44895</v>
      </c>
      <c r="X8" s="92">
        <f t="shared" si="8"/>
        <v>44926</v>
      </c>
      <c r="Y8" s="92">
        <f t="shared" si="8"/>
        <v>44957</v>
      </c>
      <c r="Z8" s="92">
        <f t="shared" si="8"/>
        <v>44985</v>
      </c>
      <c r="AA8" s="92">
        <f t="shared" si="8"/>
        <v>45016</v>
      </c>
      <c r="AB8" s="92">
        <f t="shared" si="8"/>
        <v>45046</v>
      </c>
      <c r="AC8" s="92">
        <f t="shared" si="8"/>
        <v>45077</v>
      </c>
      <c r="AD8" s="92">
        <f t="shared" si="8"/>
        <v>45107</v>
      </c>
      <c r="AE8" s="92">
        <f t="shared" si="8"/>
        <v>45138</v>
      </c>
      <c r="AF8" s="92">
        <f t="shared" si="8"/>
        <v>45169</v>
      </c>
      <c r="AG8" s="92">
        <f t="shared" si="8"/>
        <v>45199</v>
      </c>
      <c r="AH8" s="92">
        <f t="shared" si="8"/>
        <v>45230</v>
      </c>
      <c r="AI8" s="92">
        <f t="shared" si="8"/>
        <v>45260</v>
      </c>
      <c r="AJ8" s="92">
        <f t="shared" si="8"/>
        <v>45291</v>
      </c>
      <c r="AK8" s="92">
        <f t="shared" si="8"/>
        <v>45322</v>
      </c>
      <c r="AL8" s="92">
        <f t="shared" si="8"/>
        <v>45351</v>
      </c>
      <c r="AM8" s="92">
        <f t="shared" si="8"/>
        <v>45382</v>
      </c>
      <c r="AN8" s="92">
        <f t="shared" si="8"/>
        <v>45412</v>
      </c>
      <c r="AO8" s="92">
        <f t="shared" si="8"/>
        <v>45443</v>
      </c>
      <c r="AP8" s="92">
        <f t="shared" si="8"/>
        <v>45473</v>
      </c>
      <c r="AQ8" s="92">
        <f t="shared" si="8"/>
        <v>45504</v>
      </c>
      <c r="AR8" s="92">
        <f t="shared" si="8"/>
        <v>45535</v>
      </c>
      <c r="AS8" s="92">
        <f t="shared" si="8"/>
        <v>45565</v>
      </c>
      <c r="AT8" s="92">
        <f t="shared" si="8"/>
        <v>45596</v>
      </c>
      <c r="AU8" s="92">
        <f t="shared" si="8"/>
        <v>45626</v>
      </c>
      <c r="AV8" s="92">
        <f t="shared" si="8"/>
        <v>45657</v>
      </c>
      <c r="AW8" s="92">
        <f t="shared" si="8"/>
        <v>45688</v>
      </c>
      <c r="AX8" s="92">
        <f t="shared" si="8"/>
        <v>45716</v>
      </c>
      <c r="AY8" s="92">
        <f t="shared" si="8"/>
        <v>45747</v>
      </c>
      <c r="AZ8" s="92">
        <f t="shared" si="8"/>
        <v>45777</v>
      </c>
      <c r="BA8" s="92">
        <f t="shared" si="8"/>
        <v>45808</v>
      </c>
      <c r="BB8" s="92">
        <f t="shared" si="8"/>
        <v>45838</v>
      </c>
      <c r="BC8" s="92">
        <f t="shared" si="8"/>
        <v>45869</v>
      </c>
      <c r="BD8" s="92">
        <f t="shared" si="8"/>
        <v>45900</v>
      </c>
      <c r="BE8" s="92">
        <f t="shared" si="8"/>
        <v>45930</v>
      </c>
      <c r="BF8" s="92">
        <f t="shared" si="8"/>
        <v>45961</v>
      </c>
      <c r="BG8" s="92">
        <f t="shared" si="8"/>
        <v>45991</v>
      </c>
      <c r="BH8" s="92">
        <f t="shared" si="8"/>
        <v>46022</v>
      </c>
      <c r="BI8" s="92">
        <f t="shared" si="8"/>
        <v>46053</v>
      </c>
      <c r="BJ8" s="92">
        <f t="shared" si="8"/>
        <v>46081</v>
      </c>
      <c r="BK8" s="92">
        <f t="shared" si="8"/>
        <v>46112</v>
      </c>
      <c r="BL8" s="92">
        <f t="shared" si="8"/>
        <v>46142</v>
      </c>
      <c r="BM8" s="92">
        <f t="shared" si="8"/>
        <v>46173</v>
      </c>
      <c r="BN8" s="92">
        <f t="shared" si="8"/>
        <v>46203</v>
      </c>
      <c r="BO8" s="92">
        <f t="shared" si="8"/>
        <v>46234</v>
      </c>
      <c r="BP8" s="92">
        <f t="shared" si="8"/>
        <v>46265</v>
      </c>
      <c r="BQ8" s="92">
        <f t="shared" si="8"/>
        <v>46295</v>
      </c>
      <c r="BR8" s="92">
        <f t="shared" si="8"/>
        <v>46326</v>
      </c>
      <c r="BS8" s="92">
        <f t="shared" si="8"/>
        <v>46356</v>
      </c>
      <c r="BT8" s="92">
        <f t="shared" si="8"/>
        <v>46387</v>
      </c>
      <c r="BU8" s="20"/>
    </row>
    <row r="9">
      <c r="A9" s="20"/>
      <c r="B9" s="20"/>
      <c r="C9" s="20"/>
      <c r="D9" s="20"/>
      <c r="E9" s="20"/>
      <c r="F9" s="215" t="s">
        <v>25</v>
      </c>
      <c r="G9" s="93" t="str">
        <f t="shared" ref="G9:K9" si="9">IF(G8-G7&gt;35,"Annual","Monthly")</f>
        <v>Annual</v>
      </c>
      <c r="H9" s="93" t="str">
        <f t="shared" si="9"/>
        <v>Annual</v>
      </c>
      <c r="I9" s="93" t="str">
        <f t="shared" si="9"/>
        <v>Annual</v>
      </c>
      <c r="J9" s="93" t="str">
        <f t="shared" si="9"/>
        <v>Annual</v>
      </c>
      <c r="K9" s="93" t="str">
        <f t="shared" si="9"/>
        <v>Annual</v>
      </c>
      <c r="L9" s="90"/>
      <c r="M9" s="93" t="str">
        <f t="shared" ref="M9:BT9" si="10">IF(M8-M7&gt;35,"Annual","Monthly")</f>
        <v>Monthly</v>
      </c>
      <c r="N9" s="93" t="str">
        <f t="shared" si="10"/>
        <v>Monthly</v>
      </c>
      <c r="O9" s="93" t="str">
        <f t="shared" si="10"/>
        <v>Monthly</v>
      </c>
      <c r="P9" s="93" t="str">
        <f t="shared" si="10"/>
        <v>Monthly</v>
      </c>
      <c r="Q9" s="93" t="str">
        <f t="shared" si="10"/>
        <v>Monthly</v>
      </c>
      <c r="R9" s="93" t="str">
        <f t="shared" si="10"/>
        <v>Monthly</v>
      </c>
      <c r="S9" s="93" t="str">
        <f t="shared" si="10"/>
        <v>Monthly</v>
      </c>
      <c r="T9" s="93" t="str">
        <f t="shared" si="10"/>
        <v>Monthly</v>
      </c>
      <c r="U9" s="93" t="str">
        <f t="shared" si="10"/>
        <v>Monthly</v>
      </c>
      <c r="V9" s="93" t="str">
        <f t="shared" si="10"/>
        <v>Monthly</v>
      </c>
      <c r="W9" s="93" t="str">
        <f t="shared" si="10"/>
        <v>Monthly</v>
      </c>
      <c r="X9" s="93" t="str">
        <f t="shared" si="10"/>
        <v>Monthly</v>
      </c>
      <c r="Y9" s="93" t="str">
        <f t="shared" si="10"/>
        <v>Monthly</v>
      </c>
      <c r="Z9" s="93" t="str">
        <f t="shared" si="10"/>
        <v>Monthly</v>
      </c>
      <c r="AA9" s="93" t="str">
        <f t="shared" si="10"/>
        <v>Monthly</v>
      </c>
      <c r="AB9" s="93" t="str">
        <f t="shared" si="10"/>
        <v>Monthly</v>
      </c>
      <c r="AC9" s="93" t="str">
        <f t="shared" si="10"/>
        <v>Monthly</v>
      </c>
      <c r="AD9" s="93" t="str">
        <f t="shared" si="10"/>
        <v>Monthly</v>
      </c>
      <c r="AE9" s="93" t="str">
        <f t="shared" si="10"/>
        <v>Monthly</v>
      </c>
      <c r="AF9" s="93" t="str">
        <f t="shared" si="10"/>
        <v>Monthly</v>
      </c>
      <c r="AG9" s="93" t="str">
        <f t="shared" si="10"/>
        <v>Monthly</v>
      </c>
      <c r="AH9" s="93" t="str">
        <f t="shared" si="10"/>
        <v>Monthly</v>
      </c>
      <c r="AI9" s="93" t="str">
        <f t="shared" si="10"/>
        <v>Monthly</v>
      </c>
      <c r="AJ9" s="93" t="str">
        <f t="shared" si="10"/>
        <v>Monthly</v>
      </c>
      <c r="AK9" s="93" t="str">
        <f t="shared" si="10"/>
        <v>Monthly</v>
      </c>
      <c r="AL9" s="93" t="str">
        <f t="shared" si="10"/>
        <v>Monthly</v>
      </c>
      <c r="AM9" s="93" t="str">
        <f t="shared" si="10"/>
        <v>Monthly</v>
      </c>
      <c r="AN9" s="93" t="str">
        <f t="shared" si="10"/>
        <v>Monthly</v>
      </c>
      <c r="AO9" s="93" t="str">
        <f t="shared" si="10"/>
        <v>Monthly</v>
      </c>
      <c r="AP9" s="93" t="str">
        <f t="shared" si="10"/>
        <v>Monthly</v>
      </c>
      <c r="AQ9" s="93" t="str">
        <f t="shared" si="10"/>
        <v>Monthly</v>
      </c>
      <c r="AR9" s="93" t="str">
        <f t="shared" si="10"/>
        <v>Monthly</v>
      </c>
      <c r="AS9" s="93" t="str">
        <f t="shared" si="10"/>
        <v>Monthly</v>
      </c>
      <c r="AT9" s="93" t="str">
        <f t="shared" si="10"/>
        <v>Monthly</v>
      </c>
      <c r="AU9" s="93" t="str">
        <f t="shared" si="10"/>
        <v>Monthly</v>
      </c>
      <c r="AV9" s="93" t="str">
        <f t="shared" si="10"/>
        <v>Monthly</v>
      </c>
      <c r="AW9" s="93" t="str">
        <f t="shared" si="10"/>
        <v>Monthly</v>
      </c>
      <c r="AX9" s="93" t="str">
        <f t="shared" si="10"/>
        <v>Monthly</v>
      </c>
      <c r="AY9" s="93" t="str">
        <f t="shared" si="10"/>
        <v>Monthly</v>
      </c>
      <c r="AZ9" s="93" t="str">
        <f t="shared" si="10"/>
        <v>Monthly</v>
      </c>
      <c r="BA9" s="93" t="str">
        <f t="shared" si="10"/>
        <v>Monthly</v>
      </c>
      <c r="BB9" s="93" t="str">
        <f t="shared" si="10"/>
        <v>Monthly</v>
      </c>
      <c r="BC9" s="93" t="str">
        <f t="shared" si="10"/>
        <v>Monthly</v>
      </c>
      <c r="BD9" s="93" t="str">
        <f t="shared" si="10"/>
        <v>Monthly</v>
      </c>
      <c r="BE9" s="93" t="str">
        <f t="shared" si="10"/>
        <v>Monthly</v>
      </c>
      <c r="BF9" s="93" t="str">
        <f t="shared" si="10"/>
        <v>Monthly</v>
      </c>
      <c r="BG9" s="93" t="str">
        <f t="shared" si="10"/>
        <v>Monthly</v>
      </c>
      <c r="BH9" s="93" t="str">
        <f t="shared" si="10"/>
        <v>Monthly</v>
      </c>
      <c r="BI9" s="93" t="str">
        <f t="shared" si="10"/>
        <v>Monthly</v>
      </c>
      <c r="BJ9" s="93" t="str">
        <f t="shared" si="10"/>
        <v>Monthly</v>
      </c>
      <c r="BK9" s="93" t="str">
        <f t="shared" si="10"/>
        <v>Monthly</v>
      </c>
      <c r="BL9" s="93" t="str">
        <f t="shared" si="10"/>
        <v>Monthly</v>
      </c>
      <c r="BM9" s="93" t="str">
        <f t="shared" si="10"/>
        <v>Monthly</v>
      </c>
      <c r="BN9" s="93" t="str">
        <f t="shared" si="10"/>
        <v>Monthly</v>
      </c>
      <c r="BO9" s="93" t="str">
        <f t="shared" si="10"/>
        <v>Monthly</v>
      </c>
      <c r="BP9" s="93" t="str">
        <f t="shared" si="10"/>
        <v>Monthly</v>
      </c>
      <c r="BQ9" s="93" t="str">
        <f t="shared" si="10"/>
        <v>Monthly</v>
      </c>
      <c r="BR9" s="93" t="str">
        <f t="shared" si="10"/>
        <v>Monthly</v>
      </c>
      <c r="BS9" s="93" t="str">
        <f t="shared" si="10"/>
        <v>Monthly</v>
      </c>
      <c r="BT9" s="93" t="str">
        <f t="shared" si="10"/>
        <v>Monthly</v>
      </c>
      <c r="BU9" s="20"/>
    </row>
    <row r="10">
      <c r="A10" s="20"/>
      <c r="B10" s="20"/>
      <c r="C10" s="20"/>
      <c r="D10" s="20"/>
      <c r="E10" s="20"/>
      <c r="F10" s="215" t="s">
        <v>26</v>
      </c>
      <c r="G10" s="93">
        <f t="shared" ref="G10:K10" si="11">YEAR(G7)</f>
        <v>2022</v>
      </c>
      <c r="H10" s="93">
        <f t="shared" si="11"/>
        <v>2023</v>
      </c>
      <c r="I10" s="93">
        <f t="shared" si="11"/>
        <v>2024</v>
      </c>
      <c r="J10" s="93">
        <f t="shared" si="11"/>
        <v>2025</v>
      </c>
      <c r="K10" s="93">
        <f t="shared" si="11"/>
        <v>2026</v>
      </c>
      <c r="L10" s="90"/>
      <c r="M10" s="93">
        <f t="shared" ref="M10:BT10" si="12">YEAR(M7)</f>
        <v>2022</v>
      </c>
      <c r="N10" s="93">
        <f t="shared" si="12"/>
        <v>2022</v>
      </c>
      <c r="O10" s="93">
        <f t="shared" si="12"/>
        <v>2022</v>
      </c>
      <c r="P10" s="93">
        <f t="shared" si="12"/>
        <v>2022</v>
      </c>
      <c r="Q10" s="93">
        <f t="shared" si="12"/>
        <v>2022</v>
      </c>
      <c r="R10" s="93">
        <f t="shared" si="12"/>
        <v>2022</v>
      </c>
      <c r="S10" s="93">
        <f t="shared" si="12"/>
        <v>2022</v>
      </c>
      <c r="T10" s="93">
        <f t="shared" si="12"/>
        <v>2022</v>
      </c>
      <c r="U10" s="93">
        <f t="shared" si="12"/>
        <v>2022</v>
      </c>
      <c r="V10" s="93">
        <f t="shared" si="12"/>
        <v>2022</v>
      </c>
      <c r="W10" s="93">
        <f t="shared" si="12"/>
        <v>2022</v>
      </c>
      <c r="X10" s="93">
        <f t="shared" si="12"/>
        <v>2022</v>
      </c>
      <c r="Y10" s="93">
        <f t="shared" si="12"/>
        <v>2023</v>
      </c>
      <c r="Z10" s="93">
        <f t="shared" si="12"/>
        <v>2023</v>
      </c>
      <c r="AA10" s="93">
        <f t="shared" si="12"/>
        <v>2023</v>
      </c>
      <c r="AB10" s="93">
        <f t="shared" si="12"/>
        <v>2023</v>
      </c>
      <c r="AC10" s="93">
        <f t="shared" si="12"/>
        <v>2023</v>
      </c>
      <c r="AD10" s="93">
        <f t="shared" si="12"/>
        <v>2023</v>
      </c>
      <c r="AE10" s="93">
        <f t="shared" si="12"/>
        <v>2023</v>
      </c>
      <c r="AF10" s="93">
        <f t="shared" si="12"/>
        <v>2023</v>
      </c>
      <c r="AG10" s="93">
        <f t="shared" si="12"/>
        <v>2023</v>
      </c>
      <c r="AH10" s="93">
        <f t="shared" si="12"/>
        <v>2023</v>
      </c>
      <c r="AI10" s="93">
        <f t="shared" si="12"/>
        <v>2023</v>
      </c>
      <c r="AJ10" s="93">
        <f t="shared" si="12"/>
        <v>2023</v>
      </c>
      <c r="AK10" s="93">
        <f t="shared" si="12"/>
        <v>2024</v>
      </c>
      <c r="AL10" s="93">
        <f t="shared" si="12"/>
        <v>2024</v>
      </c>
      <c r="AM10" s="93">
        <f t="shared" si="12"/>
        <v>2024</v>
      </c>
      <c r="AN10" s="93">
        <f t="shared" si="12"/>
        <v>2024</v>
      </c>
      <c r="AO10" s="93">
        <f t="shared" si="12"/>
        <v>2024</v>
      </c>
      <c r="AP10" s="93">
        <f t="shared" si="12"/>
        <v>2024</v>
      </c>
      <c r="AQ10" s="93">
        <f t="shared" si="12"/>
        <v>2024</v>
      </c>
      <c r="AR10" s="93">
        <f t="shared" si="12"/>
        <v>2024</v>
      </c>
      <c r="AS10" s="93">
        <f t="shared" si="12"/>
        <v>2024</v>
      </c>
      <c r="AT10" s="93">
        <f t="shared" si="12"/>
        <v>2024</v>
      </c>
      <c r="AU10" s="93">
        <f t="shared" si="12"/>
        <v>2024</v>
      </c>
      <c r="AV10" s="93">
        <f t="shared" si="12"/>
        <v>2024</v>
      </c>
      <c r="AW10" s="93">
        <f t="shared" si="12"/>
        <v>2025</v>
      </c>
      <c r="AX10" s="93">
        <f t="shared" si="12"/>
        <v>2025</v>
      </c>
      <c r="AY10" s="93">
        <f t="shared" si="12"/>
        <v>2025</v>
      </c>
      <c r="AZ10" s="93">
        <f t="shared" si="12"/>
        <v>2025</v>
      </c>
      <c r="BA10" s="93">
        <f t="shared" si="12"/>
        <v>2025</v>
      </c>
      <c r="BB10" s="93">
        <f t="shared" si="12"/>
        <v>2025</v>
      </c>
      <c r="BC10" s="93">
        <f t="shared" si="12"/>
        <v>2025</v>
      </c>
      <c r="BD10" s="93">
        <f t="shared" si="12"/>
        <v>2025</v>
      </c>
      <c r="BE10" s="93">
        <f t="shared" si="12"/>
        <v>2025</v>
      </c>
      <c r="BF10" s="93">
        <f t="shared" si="12"/>
        <v>2025</v>
      </c>
      <c r="BG10" s="93">
        <f t="shared" si="12"/>
        <v>2025</v>
      </c>
      <c r="BH10" s="93">
        <f t="shared" si="12"/>
        <v>2025</v>
      </c>
      <c r="BI10" s="93">
        <f t="shared" si="12"/>
        <v>2026</v>
      </c>
      <c r="BJ10" s="93">
        <f t="shared" si="12"/>
        <v>2026</v>
      </c>
      <c r="BK10" s="93">
        <f t="shared" si="12"/>
        <v>2026</v>
      </c>
      <c r="BL10" s="93">
        <f t="shared" si="12"/>
        <v>2026</v>
      </c>
      <c r="BM10" s="93">
        <f t="shared" si="12"/>
        <v>2026</v>
      </c>
      <c r="BN10" s="93">
        <f t="shared" si="12"/>
        <v>2026</v>
      </c>
      <c r="BO10" s="93">
        <f t="shared" si="12"/>
        <v>2026</v>
      </c>
      <c r="BP10" s="93">
        <f t="shared" si="12"/>
        <v>2026</v>
      </c>
      <c r="BQ10" s="93">
        <f t="shared" si="12"/>
        <v>2026</v>
      </c>
      <c r="BR10" s="93">
        <f t="shared" si="12"/>
        <v>2026</v>
      </c>
      <c r="BS10" s="93">
        <f t="shared" si="12"/>
        <v>2026</v>
      </c>
      <c r="BT10" s="93">
        <f t="shared" si="12"/>
        <v>2026</v>
      </c>
      <c r="BU10" s="20"/>
    </row>
    <row r="11" collapsed="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row>
    <row r="12" hidden="1" outlineLevel="1">
      <c r="A12" s="20"/>
      <c r="B12" s="20"/>
      <c r="C12" s="20"/>
      <c r="D12" s="20"/>
      <c r="E12" s="20"/>
      <c r="F12" s="94" t="s">
        <v>27</v>
      </c>
      <c r="G12" s="95"/>
      <c r="H12" s="95"/>
      <c r="I12" s="95"/>
      <c r="J12" s="95"/>
      <c r="K12" s="95"/>
      <c r="L12" s="96"/>
      <c r="M12" s="95"/>
      <c r="N12" s="95"/>
      <c r="O12" s="95"/>
      <c r="P12" s="95"/>
      <c r="Q12" s="95"/>
      <c r="R12" s="95"/>
      <c r="S12" s="95"/>
      <c r="T12" s="95"/>
      <c r="U12" s="95"/>
      <c r="V12" s="9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5"/>
      <c r="AW12" s="95"/>
      <c r="AX12" s="95"/>
      <c r="AY12" s="95"/>
      <c r="AZ12" s="95"/>
      <c r="BA12" s="95"/>
      <c r="BB12" s="95"/>
      <c r="BC12" s="95"/>
      <c r="BD12" s="95"/>
      <c r="BE12" s="95"/>
      <c r="BF12" s="95"/>
      <c r="BG12" s="95"/>
      <c r="BH12" s="95"/>
      <c r="BI12" s="95"/>
      <c r="BJ12" s="95"/>
      <c r="BK12" s="95"/>
      <c r="BL12" s="95"/>
      <c r="BM12" s="95"/>
      <c r="BN12" s="95"/>
      <c r="BO12" s="95"/>
      <c r="BP12" s="95"/>
      <c r="BQ12" s="95"/>
      <c r="BR12" s="95"/>
      <c r="BS12" s="95"/>
      <c r="BT12" s="95"/>
      <c r="BU12" s="20"/>
    </row>
    <row r="13" hidden="1" outlineLevel="1">
      <c r="A13" s="20"/>
      <c r="B13" s="20"/>
      <c r="C13" s="20"/>
      <c r="D13" s="20"/>
      <c r="E13" s="20"/>
      <c r="F13" s="87" t="s">
        <v>28</v>
      </c>
      <c r="G13" s="97">
        <f>IF(AND(G7&gt;='Key Assumptions'!$D$13,G7&lt;'Key Assumptions'!$D$14),1,0)</f>
        <v>1</v>
      </c>
      <c r="H13" s="97">
        <f>IF(AND(H7&gt;='Key Assumptions'!$D$13,H7&lt;'Key Assumptions'!$D$14),1,0)</f>
        <v>1</v>
      </c>
      <c r="I13" s="97">
        <f>IF(AND(I7&gt;='Key Assumptions'!$D$13,I7&lt;'Key Assumptions'!$D$14),1,0)</f>
        <v>0</v>
      </c>
      <c r="J13" s="97">
        <f>IF(AND(J7&gt;='Key Assumptions'!$D$13,J7&lt;'Key Assumptions'!$D$14),1,0)</f>
        <v>0</v>
      </c>
      <c r="K13" s="97">
        <f>IF(AND(K7&gt;='Key Assumptions'!$D$13,K7&lt;'Key Assumptions'!$D$14),1,0)</f>
        <v>0</v>
      </c>
      <c r="L13" s="98"/>
      <c r="M13" s="97">
        <f>IF(AND(M7&gt;='Key Assumptions'!$D$13,M7&lt;'Key Assumptions'!$D$14),1,0)</f>
        <v>1</v>
      </c>
      <c r="N13" s="97">
        <f>IF(AND(N7&gt;='Key Assumptions'!$D$13,N7&lt;'Key Assumptions'!$D$14),1,0)</f>
        <v>1</v>
      </c>
      <c r="O13" s="97">
        <f>IF(AND(O7&gt;='Key Assumptions'!$D$13,O7&lt;'Key Assumptions'!$D$14),1,0)</f>
        <v>1</v>
      </c>
      <c r="P13" s="97">
        <f>IF(AND(P7&gt;='Key Assumptions'!$D$13,P7&lt;'Key Assumptions'!$D$14),1,0)</f>
        <v>1</v>
      </c>
      <c r="Q13" s="97">
        <f>IF(AND(Q7&gt;='Key Assumptions'!$D$13,Q7&lt;'Key Assumptions'!$D$14),1,0)</f>
        <v>1</v>
      </c>
      <c r="R13" s="97">
        <f>IF(AND(R7&gt;='Key Assumptions'!$D$13,R7&lt;'Key Assumptions'!$D$14),1,0)</f>
        <v>1</v>
      </c>
      <c r="S13" s="97">
        <f>IF(AND(S7&gt;='Key Assumptions'!$D$13,S7&lt;'Key Assumptions'!$D$14),1,0)</f>
        <v>1</v>
      </c>
      <c r="T13" s="97">
        <f>IF(AND(T7&gt;='Key Assumptions'!$D$13,T7&lt;'Key Assumptions'!$D$14),1,0)</f>
        <v>1</v>
      </c>
      <c r="U13" s="97">
        <f>IF(AND(U7&gt;='Key Assumptions'!$D$13,U7&lt;'Key Assumptions'!$D$14),1,0)</f>
        <v>1</v>
      </c>
      <c r="V13" s="97">
        <f>IF(AND(V7&gt;='Key Assumptions'!$D$13,V7&lt;'Key Assumptions'!$D$14),1,0)</f>
        <v>1</v>
      </c>
      <c r="W13" s="97">
        <f>IF(AND(W7&gt;='Key Assumptions'!$D$13,W7&lt;'Key Assumptions'!$D$14),1,0)</f>
        <v>1</v>
      </c>
      <c r="X13" s="97">
        <f>IF(AND(X7&gt;='Key Assumptions'!$D$13,X7&lt;'Key Assumptions'!$D$14),1,0)</f>
        <v>1</v>
      </c>
      <c r="Y13" s="97">
        <f>IF(AND(Y7&gt;='Key Assumptions'!$D$13,Y7&lt;'Key Assumptions'!$D$14),1,0)</f>
        <v>1</v>
      </c>
      <c r="Z13" s="97">
        <f>IF(AND(Z7&gt;='Key Assumptions'!$D$13,Z7&lt;'Key Assumptions'!$D$14),1,0)</f>
        <v>1</v>
      </c>
      <c r="AA13" s="97">
        <f>IF(AND(AA7&gt;='Key Assumptions'!$D$13,AA7&lt;'Key Assumptions'!$D$14),1,0)</f>
        <v>1</v>
      </c>
      <c r="AB13" s="97">
        <f>IF(AND(AB7&gt;='Key Assumptions'!$D$13,AB7&lt;'Key Assumptions'!$D$14),1,0)</f>
        <v>1</v>
      </c>
      <c r="AC13" s="97">
        <f>IF(AND(AC7&gt;='Key Assumptions'!$D$13,AC7&lt;'Key Assumptions'!$D$14),1,0)</f>
        <v>1</v>
      </c>
      <c r="AD13" s="97">
        <f>IF(AND(AD7&gt;='Key Assumptions'!$D$13,AD7&lt;'Key Assumptions'!$D$14),1,0)</f>
        <v>1</v>
      </c>
      <c r="AE13" s="97">
        <f>IF(AND(AE7&gt;='Key Assumptions'!$D$13,AE7&lt;'Key Assumptions'!$D$14),1,0)</f>
        <v>0</v>
      </c>
      <c r="AF13" s="97">
        <f>IF(AND(AF7&gt;='Key Assumptions'!$D$13,AF7&lt;'Key Assumptions'!$D$14),1,0)</f>
        <v>0</v>
      </c>
      <c r="AG13" s="97">
        <f>IF(AND(AG7&gt;='Key Assumptions'!$D$13,AG7&lt;'Key Assumptions'!$D$14),1,0)</f>
        <v>0</v>
      </c>
      <c r="AH13" s="97">
        <f>IF(AND(AH7&gt;='Key Assumptions'!$D$13,AH7&lt;'Key Assumptions'!$D$14),1,0)</f>
        <v>0</v>
      </c>
      <c r="AI13" s="97">
        <f>IF(AND(AI7&gt;='Key Assumptions'!$D$13,AI7&lt;'Key Assumptions'!$D$14),1,0)</f>
        <v>0</v>
      </c>
      <c r="AJ13" s="97">
        <f>IF(AND(AJ7&gt;='Key Assumptions'!$D$13,AJ7&lt;'Key Assumptions'!$D$14),1,0)</f>
        <v>0</v>
      </c>
      <c r="AK13" s="97">
        <f>IF(AND(AK7&gt;='Key Assumptions'!$D$13,AK7&lt;'Key Assumptions'!$D$14),1,0)</f>
        <v>0</v>
      </c>
      <c r="AL13" s="97">
        <f>IF(AND(AL7&gt;='Key Assumptions'!$D$13,AL7&lt;'Key Assumptions'!$D$14),1,0)</f>
        <v>0</v>
      </c>
      <c r="AM13" s="97">
        <f>IF(AND(AM7&gt;='Key Assumptions'!$D$13,AM7&lt;'Key Assumptions'!$D$14),1,0)</f>
        <v>0</v>
      </c>
      <c r="AN13" s="97">
        <f>IF(AND(AN7&gt;='Key Assumptions'!$D$13,AN7&lt;'Key Assumptions'!$D$14),1,0)</f>
        <v>0</v>
      </c>
      <c r="AO13" s="97">
        <f>IF(AND(AO7&gt;='Key Assumptions'!$D$13,AO7&lt;'Key Assumptions'!$D$14),1,0)</f>
        <v>0</v>
      </c>
      <c r="AP13" s="97">
        <f>IF(AND(AP7&gt;='Key Assumptions'!$D$13,AP7&lt;'Key Assumptions'!$D$14),1,0)</f>
        <v>0</v>
      </c>
      <c r="AQ13" s="97">
        <f>IF(AND(AQ7&gt;='Key Assumptions'!$D$13,AQ7&lt;'Key Assumptions'!$D$14),1,0)</f>
        <v>0</v>
      </c>
      <c r="AR13" s="97">
        <f>IF(AND(AR7&gt;='Key Assumptions'!$D$13,AR7&lt;'Key Assumptions'!$D$14),1,0)</f>
        <v>0</v>
      </c>
      <c r="AS13" s="97">
        <f>IF(AND(AS7&gt;='Key Assumptions'!$D$13,AS7&lt;'Key Assumptions'!$D$14),1,0)</f>
        <v>0</v>
      </c>
      <c r="AT13" s="97">
        <f>IF(AND(AT7&gt;='Key Assumptions'!$D$13,AT7&lt;'Key Assumptions'!$D$14),1,0)</f>
        <v>0</v>
      </c>
      <c r="AU13" s="97">
        <f>IF(AND(AU7&gt;='Key Assumptions'!$D$13,AU7&lt;'Key Assumptions'!$D$14),1,0)</f>
        <v>0</v>
      </c>
      <c r="AV13" s="97">
        <f>IF(AND(AV7&gt;='Key Assumptions'!$D$13,AV7&lt;'Key Assumptions'!$D$14),1,0)</f>
        <v>0</v>
      </c>
      <c r="AW13" s="97">
        <f>IF(AND(AW7&gt;='Key Assumptions'!$D$13,AW7&lt;'Key Assumptions'!$D$14),1,0)</f>
        <v>0</v>
      </c>
      <c r="AX13" s="97">
        <f>IF(AND(AX7&gt;='Key Assumptions'!$D$13,AX7&lt;'Key Assumptions'!$D$14),1,0)</f>
        <v>0</v>
      </c>
      <c r="AY13" s="97">
        <f>IF(AND(AY7&gt;='Key Assumptions'!$D$13,AY7&lt;'Key Assumptions'!$D$14),1,0)</f>
        <v>0</v>
      </c>
      <c r="AZ13" s="97">
        <f>IF(AND(AZ7&gt;='Key Assumptions'!$D$13,AZ7&lt;'Key Assumptions'!$D$14),1,0)</f>
        <v>0</v>
      </c>
      <c r="BA13" s="97">
        <f>IF(AND(BA7&gt;='Key Assumptions'!$D$13,BA7&lt;'Key Assumptions'!$D$14),1,0)</f>
        <v>0</v>
      </c>
      <c r="BB13" s="97">
        <f>IF(AND(BB7&gt;='Key Assumptions'!$D$13,BB7&lt;'Key Assumptions'!$D$14),1,0)</f>
        <v>0</v>
      </c>
      <c r="BC13" s="97">
        <f>IF(AND(BC7&gt;='Key Assumptions'!$D$13,BC7&lt;'Key Assumptions'!$D$14),1,0)</f>
        <v>0</v>
      </c>
      <c r="BD13" s="97">
        <f>IF(AND(BD7&gt;='Key Assumptions'!$D$13,BD7&lt;'Key Assumptions'!$D$14),1,0)</f>
        <v>0</v>
      </c>
      <c r="BE13" s="97">
        <f>IF(AND(BE7&gt;='Key Assumptions'!$D$13,BE7&lt;'Key Assumptions'!$D$14),1,0)</f>
        <v>0</v>
      </c>
      <c r="BF13" s="97">
        <f>IF(AND(BF7&gt;='Key Assumptions'!$D$13,BF7&lt;'Key Assumptions'!$D$14),1,0)</f>
        <v>0</v>
      </c>
      <c r="BG13" s="97">
        <f>IF(AND(BG7&gt;='Key Assumptions'!$D$13,BG7&lt;'Key Assumptions'!$D$14),1,0)</f>
        <v>0</v>
      </c>
      <c r="BH13" s="97">
        <f>IF(AND(BH7&gt;='Key Assumptions'!$D$13,BH7&lt;'Key Assumptions'!$D$14),1,0)</f>
        <v>0</v>
      </c>
      <c r="BI13" s="97">
        <f>IF(AND(BI7&gt;='Key Assumptions'!$D$13,BI7&lt;'Key Assumptions'!$D$14),1,0)</f>
        <v>0</v>
      </c>
      <c r="BJ13" s="97">
        <f>IF(AND(BJ7&gt;='Key Assumptions'!$D$13,BJ7&lt;'Key Assumptions'!$D$14),1,0)</f>
        <v>0</v>
      </c>
      <c r="BK13" s="97">
        <f>IF(AND(BK7&gt;='Key Assumptions'!$D$13,BK7&lt;'Key Assumptions'!$D$14),1,0)</f>
        <v>0</v>
      </c>
      <c r="BL13" s="97">
        <f>IF(AND(BL7&gt;='Key Assumptions'!$D$13,BL7&lt;'Key Assumptions'!$D$14),1,0)</f>
        <v>0</v>
      </c>
      <c r="BM13" s="97">
        <f>IF(AND(BM7&gt;='Key Assumptions'!$D$13,BM7&lt;'Key Assumptions'!$D$14),1,0)</f>
        <v>0</v>
      </c>
      <c r="BN13" s="97">
        <f>IF(AND(BN7&gt;='Key Assumptions'!$D$13,BN7&lt;'Key Assumptions'!$D$14),1,0)</f>
        <v>0</v>
      </c>
      <c r="BO13" s="97">
        <f>IF(AND(BO7&gt;='Key Assumptions'!$D$13,BO7&lt;'Key Assumptions'!$D$14),1,0)</f>
        <v>0</v>
      </c>
      <c r="BP13" s="97">
        <f>IF(AND(BP7&gt;='Key Assumptions'!$D$13,BP7&lt;'Key Assumptions'!$D$14),1,0)</f>
        <v>0</v>
      </c>
      <c r="BQ13" s="97">
        <f>IF(AND(BQ7&gt;='Key Assumptions'!$D$13,BQ7&lt;'Key Assumptions'!$D$14),1,0)</f>
        <v>0</v>
      </c>
      <c r="BR13" s="97">
        <f>IF(AND(BR7&gt;='Key Assumptions'!$D$13,BR7&lt;'Key Assumptions'!$D$14),1,0)</f>
        <v>0</v>
      </c>
      <c r="BS13" s="97">
        <f>IF(AND(BS7&gt;='Key Assumptions'!$D$13,BS7&lt;'Key Assumptions'!$D$14),1,0)</f>
        <v>0</v>
      </c>
      <c r="BT13" s="97">
        <f>IF(AND(BT7&gt;='Key Assumptions'!$D$13,BT7&lt;'Key Assumptions'!$D$14),1,0)</f>
        <v>0</v>
      </c>
      <c r="BU13" s="20"/>
    </row>
    <row r="14" hidden="1" outlineLevel="1">
      <c r="A14" s="20"/>
      <c r="B14" s="20"/>
      <c r="C14" s="20"/>
      <c r="D14" s="20"/>
      <c r="E14" s="20"/>
      <c r="F14" s="91" t="s">
        <v>29</v>
      </c>
      <c r="G14" s="100">
        <f>IF(AND(G7&gt;='Key Assumptions'!$D$15,G7&lt;'Key Assumptions'!$D$16),1,0)</f>
        <v>0</v>
      </c>
      <c r="H14" s="100">
        <f>IF(AND(H7&gt;='Key Assumptions'!$D$15,H7&lt;'Key Assumptions'!$D$16),1,0)</f>
        <v>0</v>
      </c>
      <c r="I14" s="100">
        <f>IF(AND(I7&gt;='Key Assumptions'!$D$15,I7&lt;'Key Assumptions'!$D$16),1,0)</f>
        <v>1</v>
      </c>
      <c r="J14" s="100">
        <f>IF(AND(J7&gt;='Key Assumptions'!$D$15,J7&lt;'Key Assumptions'!$D$16),1,0)</f>
        <v>1</v>
      </c>
      <c r="K14" s="100">
        <f>IF(AND(K7&gt;='Key Assumptions'!$D$15,K7&lt;'Key Assumptions'!$D$16),1,0)</f>
        <v>1</v>
      </c>
      <c r="L14" s="101"/>
      <c r="M14" s="100">
        <f>IF(AND(M7&gt;='Key Assumptions'!$D$15,M7&lt;'Key Assumptions'!$D$16),1,0)</f>
        <v>0</v>
      </c>
      <c r="N14" s="100">
        <f>IF(AND(N7&gt;='Key Assumptions'!$D$15,N7&lt;'Key Assumptions'!$D$16),1,0)</f>
        <v>0</v>
      </c>
      <c r="O14" s="100">
        <f>IF(AND(O7&gt;='Key Assumptions'!$D$15,O7&lt;'Key Assumptions'!$D$16),1,0)</f>
        <v>0</v>
      </c>
      <c r="P14" s="100">
        <f>IF(AND(P7&gt;='Key Assumptions'!$D$15,P7&lt;'Key Assumptions'!$D$16),1,0)</f>
        <v>0</v>
      </c>
      <c r="Q14" s="100">
        <f>IF(AND(Q7&gt;='Key Assumptions'!$D$15,Q7&lt;'Key Assumptions'!$D$16),1,0)</f>
        <v>0</v>
      </c>
      <c r="R14" s="100">
        <f>IF(AND(R7&gt;='Key Assumptions'!$D$15,R7&lt;'Key Assumptions'!$D$16),1,0)</f>
        <v>0</v>
      </c>
      <c r="S14" s="100">
        <f>IF(AND(S7&gt;='Key Assumptions'!$D$15,S7&lt;'Key Assumptions'!$D$16),1,0)</f>
        <v>0</v>
      </c>
      <c r="T14" s="100">
        <f>IF(AND(T7&gt;='Key Assumptions'!$D$15,T7&lt;'Key Assumptions'!$D$16),1,0)</f>
        <v>0</v>
      </c>
      <c r="U14" s="100">
        <f>IF(AND(U7&gt;='Key Assumptions'!$D$15,U7&lt;'Key Assumptions'!$D$16),1,0)</f>
        <v>0</v>
      </c>
      <c r="V14" s="100">
        <f>IF(AND(V7&gt;='Key Assumptions'!$D$15,V7&lt;'Key Assumptions'!$D$16),1,0)</f>
        <v>0</v>
      </c>
      <c r="W14" s="100">
        <f>IF(AND(W7&gt;='Key Assumptions'!$D$15,W7&lt;'Key Assumptions'!$D$16),1,0)</f>
        <v>0</v>
      </c>
      <c r="X14" s="100">
        <f>IF(AND(X7&gt;='Key Assumptions'!$D$15,X7&lt;'Key Assumptions'!$D$16),1,0)</f>
        <v>0</v>
      </c>
      <c r="Y14" s="100">
        <f>IF(AND(Y7&gt;='Key Assumptions'!$D$15,Y7&lt;'Key Assumptions'!$D$16),1,0)</f>
        <v>0</v>
      </c>
      <c r="Z14" s="100">
        <f>IF(AND(Z7&gt;='Key Assumptions'!$D$15,Z7&lt;'Key Assumptions'!$D$16),1,0)</f>
        <v>0</v>
      </c>
      <c r="AA14" s="100">
        <f>IF(AND(AA7&gt;='Key Assumptions'!$D$15,AA7&lt;'Key Assumptions'!$D$16),1,0)</f>
        <v>0</v>
      </c>
      <c r="AB14" s="100">
        <f>IF(AND(AB7&gt;='Key Assumptions'!$D$15,AB7&lt;'Key Assumptions'!$D$16),1,0)</f>
        <v>0</v>
      </c>
      <c r="AC14" s="100">
        <f>IF(AND(AC7&gt;='Key Assumptions'!$D$15,AC7&lt;'Key Assumptions'!$D$16),1,0)</f>
        <v>0</v>
      </c>
      <c r="AD14" s="100">
        <f>IF(AND(AD7&gt;='Key Assumptions'!$D$15,AD7&lt;'Key Assumptions'!$D$16),1,0)</f>
        <v>0</v>
      </c>
      <c r="AE14" s="100">
        <f>IF(AND(AE7&gt;='Key Assumptions'!$D$15,AE7&lt;'Key Assumptions'!$D$16),1,0)</f>
        <v>1</v>
      </c>
      <c r="AF14" s="100">
        <f>IF(AND(AF7&gt;='Key Assumptions'!$D$15,AF7&lt;'Key Assumptions'!$D$16),1,0)</f>
        <v>1</v>
      </c>
      <c r="AG14" s="100">
        <f>IF(AND(AG7&gt;='Key Assumptions'!$D$15,AG7&lt;'Key Assumptions'!$D$16),1,0)</f>
        <v>1</v>
      </c>
      <c r="AH14" s="100">
        <f>IF(AND(AH7&gt;='Key Assumptions'!$D$15,AH7&lt;'Key Assumptions'!$D$16),1,0)</f>
        <v>1</v>
      </c>
      <c r="AI14" s="100">
        <f>IF(AND(AI7&gt;='Key Assumptions'!$D$15,AI7&lt;'Key Assumptions'!$D$16),1,0)</f>
        <v>1</v>
      </c>
      <c r="AJ14" s="100">
        <f>IF(AND(AJ7&gt;='Key Assumptions'!$D$15,AJ7&lt;'Key Assumptions'!$D$16),1,0)</f>
        <v>1</v>
      </c>
      <c r="AK14" s="100">
        <f>IF(AND(AK7&gt;='Key Assumptions'!$D$15,AK7&lt;'Key Assumptions'!$D$16),1,0)</f>
        <v>1</v>
      </c>
      <c r="AL14" s="100">
        <f>IF(AND(AL7&gt;='Key Assumptions'!$D$15,AL7&lt;'Key Assumptions'!$D$16),1,0)</f>
        <v>1</v>
      </c>
      <c r="AM14" s="100">
        <f>IF(AND(AM7&gt;='Key Assumptions'!$D$15,AM7&lt;'Key Assumptions'!$D$16),1,0)</f>
        <v>1</v>
      </c>
      <c r="AN14" s="100">
        <f>IF(AND(AN7&gt;='Key Assumptions'!$D$15,AN7&lt;'Key Assumptions'!$D$16),1,0)</f>
        <v>1</v>
      </c>
      <c r="AO14" s="100">
        <f>IF(AND(AO7&gt;='Key Assumptions'!$D$15,AO7&lt;'Key Assumptions'!$D$16),1,0)</f>
        <v>1</v>
      </c>
      <c r="AP14" s="100">
        <f>IF(AND(AP7&gt;='Key Assumptions'!$D$15,AP7&lt;'Key Assumptions'!$D$16),1,0)</f>
        <v>1</v>
      </c>
      <c r="AQ14" s="100">
        <f>IF(AND(AQ7&gt;='Key Assumptions'!$D$15,AQ7&lt;'Key Assumptions'!$D$16),1,0)</f>
        <v>1</v>
      </c>
      <c r="AR14" s="100">
        <f>IF(AND(AR7&gt;='Key Assumptions'!$D$15,AR7&lt;'Key Assumptions'!$D$16),1,0)</f>
        <v>1</v>
      </c>
      <c r="AS14" s="100">
        <f>IF(AND(AS7&gt;='Key Assumptions'!$D$15,AS7&lt;'Key Assumptions'!$D$16),1,0)</f>
        <v>1</v>
      </c>
      <c r="AT14" s="100">
        <f>IF(AND(AT7&gt;='Key Assumptions'!$D$15,AT7&lt;'Key Assumptions'!$D$16),1,0)</f>
        <v>1</v>
      </c>
      <c r="AU14" s="100">
        <f>IF(AND(AU7&gt;='Key Assumptions'!$D$15,AU7&lt;'Key Assumptions'!$D$16),1,0)</f>
        <v>1</v>
      </c>
      <c r="AV14" s="100">
        <f>IF(AND(AV7&gt;='Key Assumptions'!$D$15,AV7&lt;'Key Assumptions'!$D$16),1,0)</f>
        <v>1</v>
      </c>
      <c r="AW14" s="100">
        <f>IF(AND(AW7&gt;='Key Assumptions'!$D$15,AW7&lt;'Key Assumptions'!$D$16),1,0)</f>
        <v>1</v>
      </c>
      <c r="AX14" s="100">
        <f>IF(AND(AX7&gt;='Key Assumptions'!$D$15,AX7&lt;'Key Assumptions'!$D$16),1,0)</f>
        <v>1</v>
      </c>
      <c r="AY14" s="100">
        <f>IF(AND(AY7&gt;='Key Assumptions'!$D$15,AY7&lt;'Key Assumptions'!$D$16),1,0)</f>
        <v>1</v>
      </c>
      <c r="AZ14" s="100">
        <f>IF(AND(AZ7&gt;='Key Assumptions'!$D$15,AZ7&lt;'Key Assumptions'!$D$16),1,0)</f>
        <v>1</v>
      </c>
      <c r="BA14" s="100">
        <f>IF(AND(BA7&gt;='Key Assumptions'!$D$15,BA7&lt;'Key Assumptions'!$D$16),1,0)</f>
        <v>1</v>
      </c>
      <c r="BB14" s="100">
        <f>IF(AND(BB7&gt;='Key Assumptions'!$D$15,BB7&lt;'Key Assumptions'!$D$16),1,0)</f>
        <v>1</v>
      </c>
      <c r="BC14" s="100">
        <f>IF(AND(BC7&gt;='Key Assumptions'!$D$15,BC7&lt;'Key Assumptions'!$D$16),1,0)</f>
        <v>1</v>
      </c>
      <c r="BD14" s="100">
        <f>IF(AND(BD7&gt;='Key Assumptions'!$D$15,BD7&lt;'Key Assumptions'!$D$16),1,0)</f>
        <v>1</v>
      </c>
      <c r="BE14" s="100">
        <f>IF(AND(BE7&gt;='Key Assumptions'!$D$15,BE7&lt;'Key Assumptions'!$D$16),1,0)</f>
        <v>1</v>
      </c>
      <c r="BF14" s="100">
        <f>IF(AND(BF7&gt;='Key Assumptions'!$D$15,BF7&lt;'Key Assumptions'!$D$16),1,0)</f>
        <v>1</v>
      </c>
      <c r="BG14" s="100">
        <f>IF(AND(BG7&gt;='Key Assumptions'!$D$15,BG7&lt;'Key Assumptions'!$D$16),1,0)</f>
        <v>1</v>
      </c>
      <c r="BH14" s="100">
        <f>IF(AND(BH7&gt;='Key Assumptions'!$D$15,BH7&lt;'Key Assumptions'!$D$16),1,0)</f>
        <v>1</v>
      </c>
      <c r="BI14" s="100">
        <f>IF(AND(BI7&gt;='Key Assumptions'!$D$15,BI7&lt;'Key Assumptions'!$D$16),1,0)</f>
        <v>1</v>
      </c>
      <c r="BJ14" s="100">
        <f>IF(AND(BJ7&gt;='Key Assumptions'!$D$15,BJ7&lt;'Key Assumptions'!$D$16),1,0)</f>
        <v>1</v>
      </c>
      <c r="BK14" s="100">
        <f>IF(AND(BK7&gt;='Key Assumptions'!$D$15,BK7&lt;'Key Assumptions'!$D$16),1,0)</f>
        <v>1</v>
      </c>
      <c r="BL14" s="100">
        <f>IF(AND(BL7&gt;='Key Assumptions'!$D$15,BL7&lt;'Key Assumptions'!$D$16),1,0)</f>
        <v>1</v>
      </c>
      <c r="BM14" s="100">
        <f>IF(AND(BM7&gt;='Key Assumptions'!$D$15,BM7&lt;'Key Assumptions'!$D$16),1,0)</f>
        <v>1</v>
      </c>
      <c r="BN14" s="100">
        <f>IF(AND(BN7&gt;='Key Assumptions'!$D$15,BN7&lt;'Key Assumptions'!$D$16),1,0)</f>
        <v>1</v>
      </c>
      <c r="BO14" s="100">
        <f>IF(AND(BO7&gt;='Key Assumptions'!$D$15,BO7&lt;'Key Assumptions'!$D$16),1,0)</f>
        <v>1</v>
      </c>
      <c r="BP14" s="100">
        <f>IF(AND(BP7&gt;='Key Assumptions'!$D$15,BP7&lt;'Key Assumptions'!$D$16),1,0)</f>
        <v>1</v>
      </c>
      <c r="BQ14" s="100">
        <f>IF(AND(BQ7&gt;='Key Assumptions'!$D$15,BQ7&lt;'Key Assumptions'!$D$16),1,0)</f>
        <v>1</v>
      </c>
      <c r="BR14" s="100">
        <f>IF(AND(BR7&gt;='Key Assumptions'!$D$15,BR7&lt;'Key Assumptions'!$D$16),1,0)</f>
        <v>1</v>
      </c>
      <c r="BS14" s="100">
        <f>IF(AND(BS7&gt;='Key Assumptions'!$D$15,BS7&lt;'Key Assumptions'!$D$16),1,0)</f>
        <v>1</v>
      </c>
      <c r="BT14" s="100">
        <f>IF(AND(BT7&gt;='Key Assumptions'!$D$15,BT7&lt;'Key Assumptions'!$D$16),1,0)</f>
        <v>1</v>
      </c>
      <c r="BU14" s="20"/>
    </row>
    <row r="15" hidden="1" outlineLevel="1">
      <c r="A15" s="20"/>
      <c r="B15" s="20"/>
      <c r="C15" s="20"/>
      <c r="D15" s="20"/>
      <c r="E15" s="20"/>
      <c r="F15" s="91" t="s">
        <v>30</v>
      </c>
      <c r="G15" s="100">
        <f t="shared" ref="G15:K15" si="13">COUNTA($G$7:G7)</f>
        <v>1</v>
      </c>
      <c r="H15" s="100">
        <f t="shared" si="13"/>
        <v>2</v>
      </c>
      <c r="I15" s="100">
        <f t="shared" si="13"/>
        <v>3</v>
      </c>
      <c r="J15" s="100">
        <f t="shared" si="13"/>
        <v>4</v>
      </c>
      <c r="K15" s="100">
        <f t="shared" si="13"/>
        <v>5</v>
      </c>
      <c r="L15" s="101"/>
      <c r="M15" s="100">
        <f t="shared" ref="M15:BT15" si="14">INDEX($G$15:$K$15,MATCH(YEAR(M$7),$G$10:$K$10,0))</f>
        <v>1</v>
      </c>
      <c r="N15" s="100">
        <f t="shared" si="14"/>
        <v>1</v>
      </c>
      <c r="O15" s="100">
        <f t="shared" si="14"/>
        <v>1</v>
      </c>
      <c r="P15" s="100">
        <f t="shared" si="14"/>
        <v>1</v>
      </c>
      <c r="Q15" s="100">
        <f t="shared" si="14"/>
        <v>1</v>
      </c>
      <c r="R15" s="100">
        <f t="shared" si="14"/>
        <v>1</v>
      </c>
      <c r="S15" s="100">
        <f t="shared" si="14"/>
        <v>1</v>
      </c>
      <c r="T15" s="100">
        <f t="shared" si="14"/>
        <v>1</v>
      </c>
      <c r="U15" s="100">
        <f t="shared" si="14"/>
        <v>1</v>
      </c>
      <c r="V15" s="100">
        <f t="shared" si="14"/>
        <v>1</v>
      </c>
      <c r="W15" s="100">
        <f t="shared" si="14"/>
        <v>1</v>
      </c>
      <c r="X15" s="100">
        <f t="shared" si="14"/>
        <v>1</v>
      </c>
      <c r="Y15" s="100">
        <f t="shared" si="14"/>
        <v>2</v>
      </c>
      <c r="Z15" s="100">
        <f t="shared" si="14"/>
        <v>2</v>
      </c>
      <c r="AA15" s="100">
        <f t="shared" si="14"/>
        <v>2</v>
      </c>
      <c r="AB15" s="100">
        <f t="shared" si="14"/>
        <v>2</v>
      </c>
      <c r="AC15" s="100">
        <f t="shared" si="14"/>
        <v>2</v>
      </c>
      <c r="AD15" s="100">
        <f t="shared" si="14"/>
        <v>2</v>
      </c>
      <c r="AE15" s="100">
        <f t="shared" si="14"/>
        <v>2</v>
      </c>
      <c r="AF15" s="100">
        <f t="shared" si="14"/>
        <v>2</v>
      </c>
      <c r="AG15" s="100">
        <f t="shared" si="14"/>
        <v>2</v>
      </c>
      <c r="AH15" s="100">
        <f t="shared" si="14"/>
        <v>2</v>
      </c>
      <c r="AI15" s="100">
        <f t="shared" si="14"/>
        <v>2</v>
      </c>
      <c r="AJ15" s="100">
        <f t="shared" si="14"/>
        <v>2</v>
      </c>
      <c r="AK15" s="100">
        <f t="shared" si="14"/>
        <v>3</v>
      </c>
      <c r="AL15" s="100">
        <f t="shared" si="14"/>
        <v>3</v>
      </c>
      <c r="AM15" s="100">
        <f t="shared" si="14"/>
        <v>3</v>
      </c>
      <c r="AN15" s="100">
        <f t="shared" si="14"/>
        <v>3</v>
      </c>
      <c r="AO15" s="100">
        <f t="shared" si="14"/>
        <v>3</v>
      </c>
      <c r="AP15" s="100">
        <f t="shared" si="14"/>
        <v>3</v>
      </c>
      <c r="AQ15" s="100">
        <f t="shared" si="14"/>
        <v>3</v>
      </c>
      <c r="AR15" s="100">
        <f t="shared" si="14"/>
        <v>3</v>
      </c>
      <c r="AS15" s="100">
        <f t="shared" si="14"/>
        <v>3</v>
      </c>
      <c r="AT15" s="100">
        <f t="shared" si="14"/>
        <v>3</v>
      </c>
      <c r="AU15" s="100">
        <f t="shared" si="14"/>
        <v>3</v>
      </c>
      <c r="AV15" s="100">
        <f t="shared" si="14"/>
        <v>3</v>
      </c>
      <c r="AW15" s="100">
        <f t="shared" si="14"/>
        <v>4</v>
      </c>
      <c r="AX15" s="100">
        <f t="shared" si="14"/>
        <v>4</v>
      </c>
      <c r="AY15" s="100">
        <f t="shared" si="14"/>
        <v>4</v>
      </c>
      <c r="AZ15" s="100">
        <f t="shared" si="14"/>
        <v>4</v>
      </c>
      <c r="BA15" s="100">
        <f t="shared" si="14"/>
        <v>4</v>
      </c>
      <c r="BB15" s="100">
        <f t="shared" si="14"/>
        <v>4</v>
      </c>
      <c r="BC15" s="100">
        <f t="shared" si="14"/>
        <v>4</v>
      </c>
      <c r="BD15" s="100">
        <f t="shared" si="14"/>
        <v>4</v>
      </c>
      <c r="BE15" s="100">
        <f t="shared" si="14"/>
        <v>4</v>
      </c>
      <c r="BF15" s="100">
        <f t="shared" si="14"/>
        <v>4</v>
      </c>
      <c r="BG15" s="100">
        <f t="shared" si="14"/>
        <v>4</v>
      </c>
      <c r="BH15" s="100">
        <f t="shared" si="14"/>
        <v>4</v>
      </c>
      <c r="BI15" s="100">
        <f t="shared" si="14"/>
        <v>5</v>
      </c>
      <c r="BJ15" s="100">
        <f t="shared" si="14"/>
        <v>5</v>
      </c>
      <c r="BK15" s="100">
        <f t="shared" si="14"/>
        <v>5</v>
      </c>
      <c r="BL15" s="100">
        <f t="shared" si="14"/>
        <v>5</v>
      </c>
      <c r="BM15" s="100">
        <f t="shared" si="14"/>
        <v>5</v>
      </c>
      <c r="BN15" s="100">
        <f t="shared" si="14"/>
        <v>5</v>
      </c>
      <c r="BO15" s="100">
        <f t="shared" si="14"/>
        <v>5</v>
      </c>
      <c r="BP15" s="100">
        <f t="shared" si="14"/>
        <v>5</v>
      </c>
      <c r="BQ15" s="100">
        <f t="shared" si="14"/>
        <v>5</v>
      </c>
      <c r="BR15" s="100">
        <f t="shared" si="14"/>
        <v>5</v>
      </c>
      <c r="BS15" s="100">
        <f t="shared" si="14"/>
        <v>5</v>
      </c>
      <c r="BT15" s="100">
        <f t="shared" si="14"/>
        <v>5</v>
      </c>
      <c r="BU15" s="20"/>
    </row>
    <row r="16">
      <c r="A16" s="20"/>
      <c r="B16" s="81"/>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row>
    <row r="17">
      <c r="A17" s="20"/>
      <c r="B17" s="102" t="s">
        <v>46</v>
      </c>
      <c r="C17" s="103"/>
      <c r="D17" s="103"/>
      <c r="E17" s="103"/>
      <c r="F17" s="103"/>
      <c r="G17" s="103"/>
      <c r="H17" s="103"/>
      <c r="I17" s="103"/>
      <c r="J17" s="103"/>
      <c r="K17" s="103"/>
      <c r="L17" s="103"/>
      <c r="M17" s="103"/>
      <c r="N17" s="103"/>
      <c r="O17" s="103"/>
      <c r="P17" s="103"/>
      <c r="Q17" s="103"/>
      <c r="R17" s="103"/>
      <c r="S17" s="103"/>
      <c r="T17" s="103"/>
      <c r="U17" s="103"/>
      <c r="V17" s="103"/>
      <c r="W17" s="103"/>
      <c r="X17" s="103"/>
      <c r="Y17" s="103"/>
      <c r="Z17" s="103"/>
      <c r="AA17" s="103"/>
      <c r="AB17" s="103"/>
      <c r="AC17" s="103"/>
      <c r="AD17" s="103"/>
      <c r="AE17" s="103"/>
      <c r="AF17" s="103"/>
      <c r="AG17" s="103"/>
      <c r="AH17" s="103"/>
      <c r="AI17" s="103"/>
      <c r="AJ17" s="103"/>
      <c r="AK17" s="103"/>
      <c r="AL17" s="103"/>
      <c r="AM17" s="103"/>
      <c r="AN17" s="103"/>
      <c r="AO17" s="103"/>
      <c r="AP17" s="103"/>
      <c r="AQ17" s="103"/>
      <c r="AR17" s="103"/>
      <c r="AS17" s="103"/>
      <c r="AT17" s="103"/>
      <c r="AU17" s="103"/>
      <c r="AV17" s="103"/>
      <c r="AW17" s="103"/>
      <c r="AX17" s="103"/>
      <c r="AY17" s="103"/>
      <c r="AZ17" s="103"/>
      <c r="BA17" s="103"/>
      <c r="BB17" s="103"/>
      <c r="BC17" s="103"/>
      <c r="BD17" s="103"/>
      <c r="BE17" s="103"/>
      <c r="BF17" s="103"/>
      <c r="BG17" s="103"/>
      <c r="BH17" s="103"/>
      <c r="BI17" s="103"/>
      <c r="BJ17" s="103"/>
      <c r="BK17" s="103"/>
      <c r="BL17" s="103"/>
      <c r="BM17" s="103"/>
      <c r="BN17" s="103"/>
      <c r="BO17" s="103"/>
      <c r="BP17" s="103"/>
      <c r="BQ17" s="103"/>
      <c r="BR17" s="103"/>
      <c r="BS17" s="103"/>
      <c r="BT17" s="103"/>
      <c r="BU17" s="20"/>
    </row>
    <row r="18">
      <c r="A18" s="20"/>
      <c r="B18" s="113" t="s">
        <v>47</v>
      </c>
      <c r="C18" s="163"/>
      <c r="D18" s="163"/>
      <c r="E18" s="163"/>
      <c r="F18" s="115" t="s">
        <v>48</v>
      </c>
      <c r="G18" s="112">
        <f t="shared" ref="G18:K18" si="15">INDEX($M18:$BT18,MATCH(G$7,$M$7:$BT$7,0))</f>
        <v>11935000</v>
      </c>
      <c r="H18" s="112">
        <f t="shared" si="15"/>
        <v>17099065.44</v>
      </c>
      <c r="I18" s="112">
        <f t="shared" si="15"/>
        <v>22916196.84</v>
      </c>
      <c r="J18" s="112">
        <f t="shared" si="15"/>
        <v>29614277.91</v>
      </c>
      <c r="K18" s="112">
        <f t="shared" si="15"/>
        <v>36412072.18</v>
      </c>
      <c r="L18" s="20"/>
      <c r="M18" s="112">
        <f>IF(M$13=1,Actuals!N22,L22)</f>
        <v>11935000</v>
      </c>
      <c r="N18" s="112">
        <f>IF(N$13=1,Actuals!O22,M22)</f>
        <v>12248800.11</v>
      </c>
      <c r="O18" s="112">
        <f>IF(O$13=1,Actuals!P22,N22)</f>
        <v>12691379.64</v>
      </c>
      <c r="P18" s="112">
        <f>IF(P$13=1,Actuals!Q22,O22)</f>
        <v>13205435.84</v>
      </c>
      <c r="Q18" s="112">
        <f>IF(Q$13=1,Actuals!R22,P22)</f>
        <v>13595598.47</v>
      </c>
      <c r="R18" s="112">
        <f>IF(R$13=1,Actuals!S22,Q22)</f>
        <v>13929303.76</v>
      </c>
      <c r="S18" s="112">
        <f>IF(S$13=1,Actuals!T22,R22)</f>
        <v>14504142.69</v>
      </c>
      <c r="T18" s="112">
        <f>IF(T$13=1,Actuals!U22,S22)</f>
        <v>15198474.22</v>
      </c>
      <c r="U18" s="112">
        <f>IF(U$13=1,Actuals!V22,T22)</f>
        <v>15699592.68</v>
      </c>
      <c r="V18" s="112">
        <f>IF(V$13=1,Actuals!W22,U22)</f>
        <v>15997979.3</v>
      </c>
      <c r="W18" s="112">
        <f>IF(W$13=1,Actuals!X22,V22)</f>
        <v>16562098.9</v>
      </c>
      <c r="X18" s="112">
        <f>IF(X$13=1,Actuals!Y22,W22)</f>
        <v>16803589.19</v>
      </c>
      <c r="Y18" s="112">
        <f>IF(Y$13=1,Actuals!Z22,X22)</f>
        <v>17099065.44</v>
      </c>
      <c r="Z18" s="112">
        <f>IF(Z$13=1,Actuals!AA22,Y22)</f>
        <v>17611609.42</v>
      </c>
      <c r="AA18" s="112">
        <f>IF(AA$13=1,Actuals!AB22,Z22)</f>
        <v>18207764.2</v>
      </c>
      <c r="AB18" s="112">
        <f>IF(AB$13=1,Actuals!AC22,AA22)</f>
        <v>18453020.46</v>
      </c>
      <c r="AC18" s="112">
        <f>IF(AC$13=1,Actuals!AD22,AB22)</f>
        <v>18844334.86</v>
      </c>
      <c r="AD18" s="112">
        <f>IF(AD$13=1,Actuals!AE22,AC22)</f>
        <v>19266077.98</v>
      </c>
      <c r="AE18" s="112">
        <f>IF(AE$13=1,Actuals!AF22,AD22)</f>
        <v>19592945.22</v>
      </c>
      <c r="AF18" s="112">
        <f>IF(AF$13=1,Actuals!AG22,AE22)</f>
        <v>20101340.72</v>
      </c>
      <c r="AG18" s="112">
        <f>IF(AG$13=1,Actuals!AH22,AF22)</f>
        <v>20643070.77</v>
      </c>
      <c r="AH18" s="112">
        <f>IF(AH$13=1,Actuals!AI22,AG22)</f>
        <v>21206432.75</v>
      </c>
      <c r="AI18" s="112">
        <f>IF(AI$13=1,Actuals!AJ22,AH22)</f>
        <v>21743119.4</v>
      </c>
      <c r="AJ18" s="112">
        <f>IF(AJ$13=1,Actuals!AK22,AI22)</f>
        <v>22324634.79</v>
      </c>
      <c r="AK18" s="112">
        <f>IF(AK$13=1,Actuals!AL22,AJ22)</f>
        <v>22916196.84</v>
      </c>
      <c r="AL18" s="112">
        <f>IF(AL$13=1,Actuals!AM22,AK22)</f>
        <v>23450848.47</v>
      </c>
      <c r="AM18" s="112">
        <f>IF(AM$13=1,Actuals!AN22,AL22)</f>
        <v>24008431.79</v>
      </c>
      <c r="AN18" s="112">
        <f>IF(AN$13=1,Actuals!AO22,AM22)</f>
        <v>24624948.5</v>
      </c>
      <c r="AO18" s="112">
        <f>IF(AO$13=1,Actuals!AP22,AN22)</f>
        <v>25178499.33</v>
      </c>
      <c r="AP18" s="112">
        <f>IF(AP$13=1,Actuals!AQ22,AO22)</f>
        <v>25681316.41</v>
      </c>
      <c r="AQ18" s="112">
        <f>IF(AQ$13=1,Actuals!AR22,AP22)</f>
        <v>26217747.49</v>
      </c>
      <c r="AR18" s="112">
        <f>IF(AR$13=1,Actuals!AS22,AQ22)</f>
        <v>26782906.13</v>
      </c>
      <c r="AS18" s="112">
        <f>IF(AS$13=1,Actuals!AT22,AR22)</f>
        <v>27347492.4</v>
      </c>
      <c r="AT18" s="112">
        <f>IF(AT$13=1,Actuals!AU22,AS22)</f>
        <v>27913328.89</v>
      </c>
      <c r="AU18" s="112">
        <f>IF(AU$13=1,Actuals!AV22,AT22)</f>
        <v>28480350.6</v>
      </c>
      <c r="AV18" s="112">
        <f>IF(AV$13=1,Actuals!AW22,AU22)</f>
        <v>29046528.98</v>
      </c>
      <c r="AW18" s="112">
        <f>IF(AW$13=1,Actuals!AX22,AV22)</f>
        <v>29614277.91</v>
      </c>
      <c r="AX18" s="112">
        <f>IF(AX$13=1,Actuals!AY22,AW22)</f>
        <v>30181945.53</v>
      </c>
      <c r="AY18" s="112">
        <f>IF(AY$13=1,Actuals!AZ22,AX22)</f>
        <v>30748317.57</v>
      </c>
      <c r="AZ18" s="112">
        <f>IF(AZ$13=1,Actuals!BA22,AY22)</f>
        <v>31314169.77</v>
      </c>
      <c r="BA18" s="112">
        <f>IF(BA$13=1,Actuals!BB22,AZ22)</f>
        <v>31880255.83</v>
      </c>
      <c r="BB18" s="112">
        <f>IF(BB$13=1,Actuals!BC22,BA22)</f>
        <v>32446008.43</v>
      </c>
      <c r="BC18" s="112">
        <f>IF(BC$13=1,Actuals!BD22,BB22)</f>
        <v>33012269.25</v>
      </c>
      <c r="BD18" s="112">
        <f>IF(BD$13=1,Actuals!BE22,BC22)</f>
        <v>33579149.36</v>
      </c>
      <c r="BE18" s="112">
        <f>IF(BE$13=1,Actuals!BF22,BD22)</f>
        <v>34146142.98</v>
      </c>
      <c r="BF18" s="112">
        <f>IF(BF$13=1,Actuals!BG22,BE22)</f>
        <v>34712916.37</v>
      </c>
      <c r="BG18" s="112">
        <f>IF(BG$13=1,Actuals!BH22,BF22)</f>
        <v>35279666.9</v>
      </c>
      <c r="BH18" s="112">
        <f>IF(BH$13=1,Actuals!BI22,BG22)</f>
        <v>35846010.17</v>
      </c>
      <c r="BI18" s="112">
        <f>IF(BI$13=1,Actuals!BJ22,BH22)</f>
        <v>36412072.18</v>
      </c>
      <c r="BJ18" s="112">
        <f>IF(BJ$13=1,Actuals!BK22,BI22)</f>
        <v>36978237.62</v>
      </c>
      <c r="BK18" s="112">
        <f>IF(BK$13=1,Actuals!BL22,BJ22)</f>
        <v>37544632.96</v>
      </c>
      <c r="BL18" s="112">
        <f>IF(BL$13=1,Actuals!BM22,BK22)</f>
        <v>38111166.55</v>
      </c>
      <c r="BM18" s="112">
        <f>IF(BM$13=1,Actuals!BN22,BL22)</f>
        <v>38677898.39</v>
      </c>
      <c r="BN18" s="112">
        <f>IF(BN$13=1,Actuals!BO22,BM22)</f>
        <v>39244645.88</v>
      </c>
      <c r="BO18" s="112">
        <f>IF(BO$13=1,Actuals!BP22,BN22)</f>
        <v>39811230.11</v>
      </c>
      <c r="BP18" s="112">
        <f>IF(BP$13=1,Actuals!BQ22,BO22)</f>
        <v>40377649.1</v>
      </c>
      <c r="BQ18" s="112">
        <f>IF(BQ$13=1,Actuals!BR22,BP22)</f>
        <v>40943992.64</v>
      </c>
      <c r="BR18" s="112">
        <f>IF(BR$13=1,Actuals!BS22,BQ22)</f>
        <v>41510292.72</v>
      </c>
      <c r="BS18" s="112">
        <f>IF(BS$13=1,Actuals!BT22,BR22)</f>
        <v>42076670.28</v>
      </c>
      <c r="BT18" s="112">
        <f>IF(BT$13=1,Actuals!BU22,BS22)</f>
        <v>42643184.91</v>
      </c>
      <c r="BU18" s="20"/>
    </row>
    <row r="19">
      <c r="A19" s="20"/>
      <c r="B19" s="110" t="s">
        <v>49</v>
      </c>
      <c r="C19" s="136"/>
      <c r="D19" s="136"/>
      <c r="E19" s="136"/>
      <c r="F19" s="106" t="s">
        <v>48</v>
      </c>
      <c r="G19" s="112">
        <f t="shared" ref="G19:K19" si="16">SUMIFS($M19:$BT19,$M$15:$BT$15,G$15)</f>
        <v>5288050</v>
      </c>
      <c r="H19" s="112">
        <f t="shared" si="16"/>
        <v>5764112.371</v>
      </c>
      <c r="I19" s="112">
        <f t="shared" si="16"/>
        <v>6240682.556</v>
      </c>
      <c r="J19" s="112">
        <f t="shared" si="16"/>
        <v>6240695.286</v>
      </c>
      <c r="K19" s="112">
        <f t="shared" si="16"/>
        <v>6240695.331</v>
      </c>
      <c r="L19" s="20"/>
      <c r="M19" s="112">
        <f>IF(M$13=1,Actuals!N23,M$33*M28)</f>
        <v>405790</v>
      </c>
      <c r="N19" s="112">
        <f>IF(N$13=1,Actuals!O23,N$33*N28)</f>
        <v>394080</v>
      </c>
      <c r="O19" s="112">
        <f>IF(O$13=1,Actuals!P23,O$33*O28)</f>
        <v>529966</v>
      </c>
      <c r="P19" s="112">
        <f>IF(P$13=1,Actuals!Q23,P$33*P28)</f>
        <v>454746</v>
      </c>
      <c r="Q19" s="112">
        <f>IF(Q$13=1,Actuals!R23,Q$33*Q28)</f>
        <v>339150</v>
      </c>
      <c r="R19" s="112">
        <f>IF(R$13=1,Actuals!S23,R$33*R28)</f>
        <v>530374</v>
      </c>
      <c r="S19" s="112">
        <f>IF(S$13=1,Actuals!T23,S$33*S28)</f>
        <v>572670</v>
      </c>
      <c r="T19" s="112">
        <f>IF(T$13=1,Actuals!U23,T$33*T28)</f>
        <v>507144</v>
      </c>
      <c r="U19" s="112">
        <f>IF(U$13=1,Actuals!V23,U$33*U28)</f>
        <v>347123</v>
      </c>
      <c r="V19" s="112">
        <f>IF(V$13=1,Actuals!W23,V$33*V28)</f>
        <v>566750</v>
      </c>
      <c r="W19" s="112">
        <f>IF(W$13=1,Actuals!X23,W$33*W28)</f>
        <v>343152</v>
      </c>
      <c r="X19" s="112">
        <f>IF(X$13=1,Actuals!Y23,X$33*X28)</f>
        <v>297105</v>
      </c>
      <c r="Y19" s="112">
        <f>IF(Y$13=1,Actuals!Z23,Y$33*Y28)</f>
        <v>430342</v>
      </c>
      <c r="Z19" s="112">
        <f>IF(Z$13=1,Actuals!AA23,Z$33*Z28)</f>
        <v>508904</v>
      </c>
      <c r="AA19" s="112">
        <f>IF(AA$13=1,Actuals!AB23,AA$33*AA28)</f>
        <v>310725</v>
      </c>
      <c r="AB19" s="112">
        <f>IF(AB$13=1,Actuals!AC23,AB$33*AB28)</f>
        <v>458920</v>
      </c>
      <c r="AC19" s="112">
        <f>IF(AC$13=1,Actuals!AD23,AC$33*AC28)</f>
        <v>500760</v>
      </c>
      <c r="AD19" s="112">
        <f>IF(AD$13=1,Actuals!AE23,AD$33*AD28)</f>
        <v>434104</v>
      </c>
      <c r="AE19" s="112">
        <f>IF(AE$13=1,Actuals!AF23,AE$33*AE28)</f>
        <v>519926.9006</v>
      </c>
      <c r="AF19" s="112">
        <f>IF(AF$13=1,Actuals!AG23,AF$33*AF28)</f>
        <v>520246.1299</v>
      </c>
      <c r="AG19" s="112">
        <f>IF(AG$13=1,Actuals!AH23,AG$33*AG28)</f>
        <v>520015.6819</v>
      </c>
      <c r="AH19" s="112">
        <f>IF(AH$13=1,Actuals!AI23,AH$33*AH28)</f>
        <v>520028.3091</v>
      </c>
      <c r="AI19" s="112">
        <f>IF(AI$13=1,Actuals!AJ23,AI$33*AI28)</f>
        <v>520054.2554</v>
      </c>
      <c r="AJ19" s="112">
        <f>IF(AJ$13=1,Actuals!AK23,AJ$33*AJ28)</f>
        <v>520086.094</v>
      </c>
      <c r="AK19" s="112">
        <f>IF(AK$13=1,Actuals!AL23,AK$33*AK28)</f>
        <v>520046.0851</v>
      </c>
      <c r="AL19" s="112">
        <f>IF(AL$13=1,Actuals!AM23,AL$33*AL28)</f>
        <v>520053.6859</v>
      </c>
      <c r="AM19" s="112">
        <f>IF(AM$13=1,Actuals!AN23,AM$33*AM28)</f>
        <v>520060.0301</v>
      </c>
      <c r="AN19" s="112">
        <f>IF(AN$13=1,Actuals!AO23,AN$33*AN28)</f>
        <v>520061.4738</v>
      </c>
      <c r="AO19" s="112">
        <f>IF(AO$13=1,Actuals!AP23,AO$33*AO28)</f>
        <v>520055.3187</v>
      </c>
      <c r="AP19" s="112">
        <f>IF(AP$13=1,Actuals!AQ23,AP$33*AP28)</f>
        <v>520057.6271</v>
      </c>
      <c r="AQ19" s="112">
        <f>IF(AQ$13=1,Actuals!AR23,AQ$33*AQ28)</f>
        <v>520058.6124</v>
      </c>
      <c r="AR19" s="112">
        <f>IF(AR$13=1,Actuals!AS23,AR$33*AR28)</f>
        <v>520058.258</v>
      </c>
      <c r="AS19" s="112">
        <f>IF(AS$13=1,Actuals!AT23,AS$33*AS28)</f>
        <v>520057.4541</v>
      </c>
      <c r="AT19" s="112">
        <f>IF(AT$13=1,Actuals!AU23,AT$33*AT28)</f>
        <v>520057.9879</v>
      </c>
      <c r="AU19" s="112">
        <f>IF(AU$13=1,Actuals!AV23,AU$33*AU28)</f>
        <v>520058.0781</v>
      </c>
      <c r="AV19" s="112">
        <f>IF(AV$13=1,Actuals!AW23,AV$33*AV28)</f>
        <v>520057.9445</v>
      </c>
      <c r="AW19" s="112">
        <f>IF(AW$13=1,Actuals!AX23,AW$33*AW28)</f>
        <v>520057.8662</v>
      </c>
      <c r="AX19" s="112">
        <f>IF(AX$13=1,Actuals!AY23,AX$33*AX28)</f>
        <v>520057.9692</v>
      </c>
      <c r="AY19" s="112">
        <f>IF(AY$13=1,Actuals!AZ23,AY$33*AY28)</f>
        <v>520057.9645</v>
      </c>
      <c r="AZ19" s="112">
        <f>IF(AZ$13=1,Actuals!BA23,AZ$33*AZ28)</f>
        <v>520057.9361</v>
      </c>
      <c r="BA19" s="112">
        <f>IF(BA$13=1,Actuals!BB23,BA$33*BA28)</f>
        <v>520057.934</v>
      </c>
      <c r="BB19" s="112">
        <f>IF(BB$13=1,Actuals!BC23,BB$33*BB28)</f>
        <v>520057.9509</v>
      </c>
      <c r="BC19" s="112">
        <f>IF(BC$13=1,Actuals!BD23,BC$33*BC28)</f>
        <v>520057.9464</v>
      </c>
      <c r="BD19" s="112">
        <f>IF(BD$13=1,Actuals!BE23,BD$33*BD28)</f>
        <v>520057.9418</v>
      </c>
      <c r="BE19" s="112">
        <f>IF(BE$13=1,Actuals!BF23,BE$33*BE28)</f>
        <v>520057.9433</v>
      </c>
      <c r="BF19" s="112">
        <f>IF(BF$13=1,Actuals!BG23,BF$33*BF28)</f>
        <v>520057.9456</v>
      </c>
      <c r="BG19" s="112">
        <f>IF(BG$13=1,Actuals!BH23,BG$33*BG28)</f>
        <v>520057.9443</v>
      </c>
      <c r="BH19" s="112">
        <f>IF(BH$13=1,Actuals!BI23,BH$33*BH28)</f>
        <v>520057.9438</v>
      </c>
      <c r="BI19" s="112">
        <f>IF(BI$13=1,Actuals!BJ23,BI$33*BI28)</f>
        <v>520057.9442</v>
      </c>
      <c r="BJ19" s="112">
        <f>IF(BJ$13=1,Actuals!BK23,BJ$33*BJ28)</f>
        <v>520057.9445</v>
      </c>
      <c r="BK19" s="112">
        <f>IF(BK$13=1,Actuals!BL23,BK$33*BK28)</f>
        <v>520057.9442</v>
      </c>
      <c r="BL19" s="112">
        <f>IF(BL$13=1,Actuals!BM23,BL$33*BL28)</f>
        <v>520057.9442</v>
      </c>
      <c r="BM19" s="112">
        <f>IF(BM$13=1,Actuals!BN23,BM$33*BM28)</f>
        <v>520057.9443</v>
      </c>
      <c r="BN19" s="112">
        <f>IF(BN$13=1,Actuals!BO23,BN$33*BN28)</f>
        <v>520057.9443</v>
      </c>
      <c r="BO19" s="112">
        <f>IF(BO$13=1,Actuals!BP23,BO$33*BO28)</f>
        <v>520057.9442</v>
      </c>
      <c r="BP19" s="112">
        <f>IF(BP$13=1,Actuals!BQ23,BP$33*BP28)</f>
        <v>520057.9442</v>
      </c>
      <c r="BQ19" s="112">
        <f>IF(BQ$13=1,Actuals!BR23,BQ$33*BQ28)</f>
        <v>520057.9442</v>
      </c>
      <c r="BR19" s="112">
        <f>IF(BR$13=1,Actuals!BS23,BR$33*BR28)</f>
        <v>520057.9442</v>
      </c>
      <c r="BS19" s="112">
        <f>IF(BS$13=1,Actuals!BT23,BS$33*BS28)</f>
        <v>520057.9442</v>
      </c>
      <c r="BT19" s="112">
        <f>IF(BT$13=1,Actuals!BU23,BT$33*BT28)</f>
        <v>520057.9442</v>
      </c>
      <c r="BU19" s="20"/>
    </row>
    <row r="20">
      <c r="A20" s="20"/>
      <c r="B20" s="211" t="s">
        <v>35</v>
      </c>
      <c r="C20" s="109"/>
      <c r="D20" s="109"/>
      <c r="E20" s="109"/>
      <c r="F20" s="216" t="s">
        <v>48</v>
      </c>
      <c r="G20" s="112">
        <f t="shared" ref="G20:K20" si="17">SUMIFS($M20:$BT20,$M$15:$BT$15,G$15)</f>
        <v>2329537.445</v>
      </c>
      <c r="H20" s="112">
        <f t="shared" si="17"/>
        <v>2335236.259</v>
      </c>
      <c r="I20" s="112">
        <f t="shared" si="17"/>
        <v>2346644.445</v>
      </c>
      <c r="J20" s="112">
        <f t="shared" si="17"/>
        <v>2347249.836</v>
      </c>
      <c r="K20" s="112">
        <f t="shared" si="17"/>
        <v>2347245.141</v>
      </c>
      <c r="L20" s="20"/>
      <c r="M20" s="112">
        <f>IF(M$13=1,Actuals!N24,'Key Assumptions'!O29)</f>
        <v>178762.1145</v>
      </c>
      <c r="N20" s="112">
        <f>IF(N$13=1,Actuals!O24,'Key Assumptions'!P29)</f>
        <v>173603.5242</v>
      </c>
      <c r="O20" s="112">
        <f>IF(O$13=1,Actuals!P24,'Key Assumptions'!Q29)</f>
        <v>233465.1982</v>
      </c>
      <c r="P20" s="112">
        <f>IF(P$13=1,Actuals!Q24,'Key Assumptions'!R29)</f>
        <v>200328.6344</v>
      </c>
      <c r="Q20" s="112">
        <f>IF(Q$13=1,Actuals!R24,'Key Assumptions'!S29)</f>
        <v>149405.2863</v>
      </c>
      <c r="R20" s="112">
        <f>IF(R$13=1,Actuals!S24,'Key Assumptions'!T29)</f>
        <v>233644.9339</v>
      </c>
      <c r="S20" s="112">
        <f>IF(S$13=1,Actuals!T24,'Key Assumptions'!U29)</f>
        <v>252277.533</v>
      </c>
      <c r="T20" s="112">
        <f>IF(T$13=1,Actuals!U24,'Key Assumptions'!V29)</f>
        <v>223411.4537</v>
      </c>
      <c r="U20" s="112">
        <f>IF(U$13=1,Actuals!V24,'Key Assumptions'!W29)</f>
        <v>152917.6211</v>
      </c>
      <c r="V20" s="112">
        <f>IF(V$13=1,Actuals!W24,'Key Assumptions'!X29)</f>
        <v>249669.6035</v>
      </c>
      <c r="W20" s="112">
        <f>IF(W$13=1,Actuals!X24,'Key Assumptions'!Y29)</f>
        <v>151168.2819</v>
      </c>
      <c r="X20" s="112">
        <f>IF(X$13=1,Actuals!Y24,'Key Assumptions'!Z29)</f>
        <v>130883.2599</v>
      </c>
      <c r="Y20" s="112">
        <f>IF(Y$13=1,Actuals!Z24,'Key Assumptions'!AA29)</f>
        <v>189577.9736</v>
      </c>
      <c r="Z20" s="112">
        <f>IF(Z$13=1,Actuals!AA24,'Key Assumptions'!AB29)</f>
        <v>224186.7841</v>
      </c>
      <c r="AA20" s="112">
        <f>IF(AA$13=1,Actuals!AB24,'Key Assumptions'!AC29)</f>
        <v>136883.2599</v>
      </c>
      <c r="AB20" s="112">
        <f>IF(AB$13=1,Actuals!AC24,'Key Assumptions'!AD29)</f>
        <v>202167.4009</v>
      </c>
      <c r="AC20" s="112">
        <f>IF(AC$13=1,Actuals!AD24,'Key Assumptions'!AE29)</f>
        <v>220599.1189</v>
      </c>
      <c r="AD20" s="112">
        <f>IF(AD$13=1,Actuals!AE24,'Key Assumptions'!AF29)</f>
        <v>191235.2423</v>
      </c>
      <c r="AE20" s="112">
        <f>IF(AE$13=1,Actuals!AF24,'Key Assumptions'!AG29)</f>
        <v>194108.2966</v>
      </c>
      <c r="AF20" s="112">
        <f>IF(AF$13=1,Actuals!AG24,'Key Assumptions'!AH29)</f>
        <v>194863.3505</v>
      </c>
      <c r="AG20" s="112">
        <f>IF(AG$13=1,Actuals!AH24,'Key Assumptions'!AI29)</f>
        <v>189976.1115</v>
      </c>
      <c r="AH20" s="112">
        <f>IF(AH$13=1,Actuals!AI24,'Key Assumptions'!AJ29)</f>
        <v>198824.9201</v>
      </c>
      <c r="AI20" s="112">
        <f>IF(AI$13=1,Actuals!AJ24,'Key Assumptions'!AK29)</f>
        <v>198267.84</v>
      </c>
      <c r="AJ20" s="112">
        <f>IF(AJ$13=1,Actuals!AK24,'Key Assumptions'!AL29)</f>
        <v>194545.9602</v>
      </c>
      <c r="AK20" s="112">
        <f>IF(AK$13=1,Actuals!AL24,'Key Assumptions'!AM29)</f>
        <v>195097.7465</v>
      </c>
      <c r="AL20" s="112">
        <f>IF(AL$13=1,Actuals!AM24,'Key Assumptions'!AN29)</f>
        <v>195262.6548</v>
      </c>
      <c r="AM20" s="112">
        <f>IF(AM$13=1,Actuals!AN24,'Key Assumptions'!AO29)</f>
        <v>195329.2055</v>
      </c>
      <c r="AN20" s="112">
        <f>IF(AN$13=1,Actuals!AO24,'Key Assumptions'!AP29)</f>
        <v>196221.3878</v>
      </c>
      <c r="AO20" s="112">
        <f>IF(AO$13=1,Actuals!AP24,'Key Assumptions'!AQ29)</f>
        <v>195787.4658</v>
      </c>
      <c r="AP20" s="112">
        <f>IF(AP$13=1,Actuals!AQ24,'Key Assumptions'!AR29)</f>
        <v>195374.0701</v>
      </c>
      <c r="AQ20" s="112">
        <f>IF(AQ$13=1,Actuals!AR24,'Key Assumptions'!AS29)</f>
        <v>195512.0884</v>
      </c>
      <c r="AR20" s="112">
        <f>IF(AR$13=1,Actuals!AS24,'Key Assumptions'!AT29)</f>
        <v>195581.1454</v>
      </c>
      <c r="AS20" s="112">
        <f>IF(AS$13=1,Actuals!AT24,'Key Assumptions'!AU29)</f>
        <v>195634.2272</v>
      </c>
      <c r="AT20" s="112">
        <f>IF(AT$13=1,Actuals!AU24,'Key Assumptions'!AV29)</f>
        <v>195685.0641</v>
      </c>
      <c r="AU20" s="112">
        <f>IF(AU$13=1,Actuals!AV24,'Key Assumptions'!AW29)</f>
        <v>195595.6768</v>
      </c>
      <c r="AV20" s="112">
        <f>IF(AV$13=1,Actuals!AW24,'Key Assumptions'!AX29)</f>
        <v>195563.712</v>
      </c>
      <c r="AW20" s="112">
        <f>IF(AW$13=1,Actuals!AX24,'Key Assumptions'!AY29)</f>
        <v>195595.319</v>
      </c>
      <c r="AX20" s="112">
        <f>IF(AX$13=1,Actuals!AY24,'Key Assumptions'!AZ29)</f>
        <v>195609.1908</v>
      </c>
      <c r="AY20" s="112">
        <f>IF(AY$13=1,Actuals!AZ24,'Key Assumptions'!BA29)</f>
        <v>195613.865</v>
      </c>
      <c r="AZ20" s="112">
        <f>IF(AZ$13=1,Actuals!BA24,'Key Assumptions'!BB29)</f>
        <v>195610.4713</v>
      </c>
      <c r="BA20" s="112">
        <f>IF(BA$13=1,Actuals!BB24,'Key Assumptions'!BC29)</f>
        <v>195598.0391</v>
      </c>
      <c r="BB20" s="112">
        <f>IF(BB$13=1,Actuals!BC24,'Key Assumptions'!BD29)</f>
        <v>195598.4329</v>
      </c>
      <c r="BC20" s="112">
        <f>IF(BC$13=1,Actuals!BD24,'Key Assumptions'!BE29)</f>
        <v>195604.2197</v>
      </c>
      <c r="BD20" s="112">
        <f>IF(BD$13=1,Actuals!BE24,'Key Assumptions'!BF29)</f>
        <v>195605.7031</v>
      </c>
      <c r="BE20" s="112">
        <f>IF(BE$13=1,Actuals!BF24,'Key Assumptions'!BG29)</f>
        <v>195605.1218</v>
      </c>
      <c r="BF20" s="112">
        <f>IF(BF$13=1,Actuals!BG24,'Key Assumptions'!BH29)</f>
        <v>195603.6647</v>
      </c>
      <c r="BG20" s="112">
        <f>IF(BG$13=1,Actuals!BH24,'Key Assumptions'!BI29)</f>
        <v>195602.5302</v>
      </c>
      <c r="BH20" s="112">
        <f>IF(BH$13=1,Actuals!BI24,'Key Assumptions'!BJ29)</f>
        <v>195603.2787</v>
      </c>
      <c r="BI20" s="112">
        <f>IF(BI$13=1,Actuals!BJ24,'Key Assumptions'!BK29)</f>
        <v>195604.0864</v>
      </c>
      <c r="BJ20" s="112">
        <f>IF(BJ$13=1,Actuals!BK24,'Key Assumptions'!BL29)</f>
        <v>195604.0642</v>
      </c>
      <c r="BK20" s="112">
        <f>IF(BK$13=1,Actuals!BL24,'Key Assumptions'!BM29)</f>
        <v>195603.791</v>
      </c>
      <c r="BL20" s="112">
        <f>IF(BL$13=1,Actuals!BM24,'Key Assumptions'!BN29)</f>
        <v>195603.5692</v>
      </c>
      <c r="BM20" s="112">
        <f>IF(BM$13=1,Actuals!BN24,'Key Assumptions'!BO29)</f>
        <v>195603.5533</v>
      </c>
      <c r="BN20" s="112">
        <f>IF(BN$13=1,Actuals!BO24,'Key Assumptions'!BP29)</f>
        <v>195603.7238</v>
      </c>
      <c r="BO20" s="112">
        <f>IF(BO$13=1,Actuals!BP24,'Key Assumptions'!BQ29)</f>
        <v>195603.798</v>
      </c>
      <c r="BP20" s="112">
        <f>IF(BP$13=1,Actuals!BQ24,'Key Assumptions'!BR29)</f>
        <v>195603.7499</v>
      </c>
      <c r="BQ20" s="112">
        <f>IF(BQ$13=1,Actuals!BR24,'Key Assumptions'!BS29)</f>
        <v>195603.6975</v>
      </c>
      <c r="BR20" s="112">
        <f>IF(BR$13=1,Actuals!BS24,'Key Assumptions'!BT29)</f>
        <v>195603.6819</v>
      </c>
      <c r="BS20" s="112">
        <f>IF(BS$13=1,Actuals!BT24,'Key Assumptions'!BU29)</f>
        <v>195603.7007</v>
      </c>
      <c r="BT20" s="112">
        <f>IF(BT$13=1,Actuals!BU24,'Key Assumptions'!BV29)</f>
        <v>195603.7253</v>
      </c>
      <c r="BU20" s="20"/>
    </row>
    <row r="21">
      <c r="A21" s="20"/>
      <c r="B21" s="113" t="s">
        <v>51</v>
      </c>
      <c r="C21" s="163"/>
      <c r="D21" s="163"/>
      <c r="E21" s="163"/>
      <c r="F21" s="115" t="s">
        <v>48</v>
      </c>
      <c r="G21" s="116">
        <f t="shared" ref="G21:K21" si="18">SUMIFS($M21:$BT21,$M$15:$BT$15,G$15)</f>
        <v>-2453522</v>
      </c>
      <c r="H21" s="116">
        <f t="shared" si="18"/>
        <v>-2282217.23</v>
      </c>
      <c r="I21" s="116">
        <f t="shared" si="18"/>
        <v>-1889245.938</v>
      </c>
      <c r="J21" s="116">
        <f t="shared" si="18"/>
        <v>-1790150.845</v>
      </c>
      <c r="K21" s="116">
        <f t="shared" si="18"/>
        <v>-1790229.264</v>
      </c>
      <c r="L21" s="20"/>
      <c r="M21" s="112">
        <f>IF(M$13=1,Actuals!N25,M$33*M29)</f>
        <v>-270752</v>
      </c>
      <c r="N21" s="112">
        <f>IF(N$13=1,Actuals!O25,N$33*N29)</f>
        <v>-125104</v>
      </c>
      <c r="O21" s="112">
        <f>IF(O$13=1,Actuals!P25,O$33*O29)</f>
        <v>-249375</v>
      </c>
      <c r="P21" s="112">
        <f>IF(P$13=1,Actuals!Q25,P$33*P29)</f>
        <v>-264912</v>
      </c>
      <c r="Q21" s="112">
        <f>IF(Q$13=1,Actuals!R25,Q$33*Q29)</f>
        <v>-154850</v>
      </c>
      <c r="R21" s="112">
        <f>IF(R$13=1,Actuals!S25,R$33*R29)</f>
        <v>-189180</v>
      </c>
      <c r="S21" s="112">
        <f>IF(S$13=1,Actuals!T25,S$33*S29)</f>
        <v>-130616</v>
      </c>
      <c r="T21" s="112">
        <f>IF(T$13=1,Actuals!U25,T$33*T29)</f>
        <v>-229437</v>
      </c>
      <c r="U21" s="112">
        <f>IF(U$13=1,Actuals!V25,U$33*U29)</f>
        <v>-201654</v>
      </c>
      <c r="V21" s="112">
        <f>IF(V$13=1,Actuals!W25,V$33*V29)</f>
        <v>-252300</v>
      </c>
      <c r="W21" s="112">
        <f>IF(W$13=1,Actuals!X25,W$33*W29)</f>
        <v>-252830</v>
      </c>
      <c r="X21" s="112">
        <f>IF(X$13=1,Actuals!Y25,X$33*X29)</f>
        <v>-132512</v>
      </c>
      <c r="Y21" s="112">
        <f>IF(Y$13=1,Actuals!Z25,Y$33*Y29)</f>
        <v>-107376</v>
      </c>
      <c r="Z21" s="112">
        <f>IF(Z$13=1,Actuals!AA25,Z$33*Z29)</f>
        <v>-136936</v>
      </c>
      <c r="AA21" s="112">
        <f>IF(AA$13=1,Actuals!AB25,AA$33*AA29)</f>
        <v>-202352</v>
      </c>
      <c r="AB21" s="112">
        <f>IF(AB$13=1,Actuals!AC25,AB$33*AB29)</f>
        <v>-269773</v>
      </c>
      <c r="AC21" s="112">
        <f>IF(AC$13=1,Actuals!AD25,AC$33*AC29)</f>
        <v>-299616</v>
      </c>
      <c r="AD21" s="112">
        <f>IF(AD$13=1,Actuals!AE25,AD$33*AD29)</f>
        <v>-298472</v>
      </c>
      <c r="AE21" s="112">
        <f>IF(AE$13=1,Actuals!AF25,AE$33*AE29)</f>
        <v>-205639.704</v>
      </c>
      <c r="AF21" s="112">
        <f>IF(AF$13=1,Actuals!AG25,AF$33*AF29)</f>
        <v>-173379.4276</v>
      </c>
      <c r="AG21" s="112">
        <f>IF(AG$13=1,Actuals!AH25,AG$33*AG29)</f>
        <v>-146629.8114</v>
      </c>
      <c r="AH21" s="112">
        <f>IF(AH$13=1,Actuals!AI25,AH$33*AH29)</f>
        <v>-182166.5773</v>
      </c>
      <c r="AI21" s="112">
        <f>IF(AI$13=1,Actuals!AJ25,AI$33*AI29)</f>
        <v>-136806.7074</v>
      </c>
      <c r="AJ21" s="112">
        <f>IF(AJ$13=1,Actuals!AK25,AJ$33*AJ29)</f>
        <v>-123070.0021</v>
      </c>
      <c r="AK21" s="112">
        <f>IF(AK$13=1,Actuals!AL25,AK$33*AK29)</f>
        <v>-180492.2109</v>
      </c>
      <c r="AL21" s="112">
        <f>IF(AL$13=1,Actuals!AM25,AL$33*AL29)</f>
        <v>-157733.0208</v>
      </c>
      <c r="AM21" s="112">
        <f>IF(AM$13=1,Actuals!AN25,AM$33*AM29)</f>
        <v>-98872.52111</v>
      </c>
      <c r="AN21" s="112">
        <f>IF(AN$13=1,Actuals!AO25,AN$33*AN29)</f>
        <v>-162732.0319</v>
      </c>
      <c r="AO21" s="112">
        <f>IF(AO$13=1,Actuals!AP25,AO$33*AO29)</f>
        <v>-213025.7064</v>
      </c>
      <c r="AP21" s="112">
        <f>IF(AP$13=1,Actuals!AQ25,AP$33*AP29)</f>
        <v>-179000.6178</v>
      </c>
      <c r="AQ21" s="112">
        <f>IF(AQ$13=1,Actuals!AR25,AQ$33*AQ29)</f>
        <v>-150412.0622</v>
      </c>
      <c r="AR21" s="112">
        <f>IF(AR$13=1,Actuals!AS25,AR$33*AR29)</f>
        <v>-151053.1338</v>
      </c>
      <c r="AS21" s="112">
        <f>IF(AS$13=1,Actuals!AT25,AS$33*AS29)</f>
        <v>-149855.1821</v>
      </c>
      <c r="AT21" s="112">
        <f>IF(AT$13=1,Actuals!AU25,AT$33*AT29)</f>
        <v>-148721.3449</v>
      </c>
      <c r="AU21" s="112">
        <f>IF(AU$13=1,Actuals!AV25,AU$33*AU29)</f>
        <v>-149475.3745</v>
      </c>
      <c r="AV21" s="112">
        <f>IF(AV$13=1,Actuals!AW25,AV$33*AV29)</f>
        <v>-147872.731</v>
      </c>
      <c r="AW21" s="112">
        <f>IF(AW$13=1,Actuals!AX25,AW$33*AW29)</f>
        <v>-147985.5631</v>
      </c>
      <c r="AX21" s="112">
        <f>IF(AX$13=1,Actuals!AY25,AX$33*AX29)</f>
        <v>-149295.1185</v>
      </c>
      <c r="AY21" s="112">
        <f>IF(AY$13=1,Actuals!AZ25,AY$33*AY29)</f>
        <v>-149819.6331</v>
      </c>
      <c r="AZ21" s="112">
        <f>IF(AZ$13=1,Actuals!BA25,AZ$33*AZ29)</f>
        <v>-149582.3443</v>
      </c>
      <c r="BA21" s="112">
        <f>IF(BA$13=1,Actuals!BB25,BA$33*BA29)</f>
        <v>-149903.3777</v>
      </c>
      <c r="BB21" s="112">
        <f>IF(BB$13=1,Actuals!BC25,BB$33*BB29)</f>
        <v>-149395.555</v>
      </c>
      <c r="BC21" s="112">
        <f>IF(BC$13=1,Actuals!BD25,BC$33*BC29)</f>
        <v>-148782.0622</v>
      </c>
      <c r="BD21" s="112">
        <f>IF(BD$13=1,Actuals!BE25,BD$33*BD29)</f>
        <v>-148670.0185</v>
      </c>
      <c r="BE21" s="112">
        <f>IF(BE$13=1,Actuals!BF25,BE$33*BE29)</f>
        <v>-148889.6779</v>
      </c>
      <c r="BF21" s="112">
        <f>IF(BF$13=1,Actuals!BG25,BF$33*BF29)</f>
        <v>-148911.0807</v>
      </c>
      <c r="BG21" s="112">
        <f>IF(BG$13=1,Actuals!BH25,BG$33*BG29)</f>
        <v>-149317.2103</v>
      </c>
      <c r="BH21" s="112">
        <f>IF(BH$13=1,Actuals!BI25,BH$33*BH29)</f>
        <v>-149599.2037</v>
      </c>
      <c r="BI21" s="112">
        <f>IF(BI$13=1,Actuals!BJ25,BI$33*BI29)</f>
        <v>-149496.5939</v>
      </c>
      <c r="BJ21" s="112">
        <f>IF(BJ$13=1,Actuals!BK25,BJ$33*BJ29)</f>
        <v>-149266.6723</v>
      </c>
      <c r="BK21" s="112">
        <f>IF(BK$13=1,Actuals!BL25,BK$33*BK29)</f>
        <v>-149128.1385</v>
      </c>
      <c r="BL21" s="112">
        <f>IF(BL$13=1,Actuals!BM25,BL$33*BL29)</f>
        <v>-148929.6785</v>
      </c>
      <c r="BM21" s="112">
        <f>IF(BM$13=1,Actuals!BN25,BM$33*BM29)</f>
        <v>-148914.0099</v>
      </c>
      <c r="BN21" s="112">
        <f>IF(BN$13=1,Actuals!BO25,BN$33*BN29)</f>
        <v>-149077.4384</v>
      </c>
      <c r="BO21" s="112">
        <f>IF(BO$13=1,Actuals!BP25,BO$33*BO29)</f>
        <v>-149242.7533</v>
      </c>
      <c r="BP21" s="112">
        <f>IF(BP$13=1,Actuals!BQ25,BP$33*BP29)</f>
        <v>-149318.1521</v>
      </c>
      <c r="BQ21" s="112">
        <f>IF(BQ$13=1,Actuals!BR25,BQ$33*BQ29)</f>
        <v>-149361.5637</v>
      </c>
      <c r="BR21" s="112">
        <f>IF(BR$13=1,Actuals!BS25,BR$33*BR29)</f>
        <v>-149284.0574</v>
      </c>
      <c r="BS21" s="112">
        <f>IF(BS$13=1,Actuals!BT25,BS$33*BS29)</f>
        <v>-149147.0186</v>
      </c>
      <c r="BT21" s="112">
        <f>IF(BT$13=1,Actuals!BU25,BT$33*BT29)</f>
        <v>-149063.1875</v>
      </c>
      <c r="BU21" s="20"/>
    </row>
    <row r="22">
      <c r="A22" s="20"/>
      <c r="B22" s="118" t="s">
        <v>52</v>
      </c>
      <c r="C22" s="217"/>
      <c r="D22" s="217"/>
      <c r="E22" s="217"/>
      <c r="F22" s="120" t="s">
        <v>48</v>
      </c>
      <c r="G22" s="121">
        <f t="shared" ref="G22:K22" si="19">INDEX($M22:$BT22,MATCH(G$8,$M$8:$BT$8,0))</f>
        <v>17099065.44</v>
      </c>
      <c r="H22" s="121">
        <f t="shared" si="19"/>
        <v>22916196.84</v>
      </c>
      <c r="I22" s="121">
        <f t="shared" si="19"/>
        <v>29614277.91</v>
      </c>
      <c r="J22" s="121">
        <f t="shared" si="19"/>
        <v>36412072.18</v>
      </c>
      <c r="K22" s="121">
        <f t="shared" si="19"/>
        <v>43209783.39</v>
      </c>
      <c r="L22" s="20"/>
      <c r="M22" s="107">
        <f>IF(M$13=1,Actuals!N26,sum(M18:M21))</f>
        <v>12248800.11</v>
      </c>
      <c r="N22" s="107">
        <f>IF(N$13=1,Actuals!O26,sum(N18:N21))</f>
        <v>12691379.64</v>
      </c>
      <c r="O22" s="107">
        <f>IF(O$13=1,Actuals!P26,sum(O18:O21))</f>
        <v>13205435.84</v>
      </c>
      <c r="P22" s="107">
        <f>IF(P$13=1,Actuals!Q26,sum(P18:P21))</f>
        <v>13595598.47</v>
      </c>
      <c r="Q22" s="107">
        <f>IF(Q$13=1,Actuals!R26,sum(Q18:Q21))</f>
        <v>13929303.76</v>
      </c>
      <c r="R22" s="107">
        <f>IF(R$13=1,Actuals!S26,sum(R18:R21))</f>
        <v>14504142.69</v>
      </c>
      <c r="S22" s="107">
        <f>IF(S$13=1,Actuals!T26,sum(S18:S21))</f>
        <v>15198474.22</v>
      </c>
      <c r="T22" s="107">
        <f>IF(T$13=1,Actuals!U26,sum(T18:T21))</f>
        <v>15699592.68</v>
      </c>
      <c r="U22" s="107">
        <f>IF(U$13=1,Actuals!V26,sum(U18:U21))</f>
        <v>15997979.3</v>
      </c>
      <c r="V22" s="107">
        <f>IF(V$13=1,Actuals!W26,sum(V18:V21))</f>
        <v>16562098.9</v>
      </c>
      <c r="W22" s="107">
        <f>IF(W$13=1,Actuals!X26,sum(W18:W21))</f>
        <v>16803589.19</v>
      </c>
      <c r="X22" s="107">
        <f>IF(X$13=1,Actuals!Y26,sum(X18:X21))</f>
        <v>17099065.44</v>
      </c>
      <c r="Y22" s="107">
        <f>IF(Y$13=1,Actuals!Z26,sum(Y18:Y21))</f>
        <v>17611609.42</v>
      </c>
      <c r="Z22" s="107">
        <f>IF(Z$13=1,Actuals!AA26,sum(Z18:Z21))</f>
        <v>18207764.2</v>
      </c>
      <c r="AA22" s="107">
        <f>IF(AA$13=1,Actuals!AB26,sum(AA18:AA21))</f>
        <v>18453020.46</v>
      </c>
      <c r="AB22" s="107">
        <f>IF(AB$13=1,Actuals!AC26,sum(AB18:AB21))</f>
        <v>18844334.86</v>
      </c>
      <c r="AC22" s="107">
        <f>IF(AC$13=1,Actuals!AD26,sum(AC18:AC21))</f>
        <v>19266077.98</v>
      </c>
      <c r="AD22" s="107">
        <f>IF(AD$13=1,Actuals!AE26,sum(AD18:AD21))</f>
        <v>19592945.22</v>
      </c>
      <c r="AE22" s="107">
        <f>IF(AE$13=1,Actuals!AF26,sum(AE18:AE21))</f>
        <v>20101340.72</v>
      </c>
      <c r="AF22" s="107">
        <f>IF(AF$13=1,Actuals!AG26,sum(AF18:AF21))</f>
        <v>20643070.77</v>
      </c>
      <c r="AG22" s="107">
        <f>IF(AG$13=1,Actuals!AH26,sum(AG18:AG21))</f>
        <v>21206432.75</v>
      </c>
      <c r="AH22" s="107">
        <f>IF(AH$13=1,Actuals!AI26,sum(AH18:AH21))</f>
        <v>21743119.4</v>
      </c>
      <c r="AI22" s="107">
        <f>IF(AI$13=1,Actuals!AJ26,sum(AI18:AI21))</f>
        <v>22324634.79</v>
      </c>
      <c r="AJ22" s="107">
        <f>IF(AJ$13=1,Actuals!AK26,sum(AJ18:AJ21))</f>
        <v>22916196.84</v>
      </c>
      <c r="AK22" s="107">
        <f>IF(AK$13=1,Actuals!AL26,sum(AK18:AK21))</f>
        <v>23450848.47</v>
      </c>
      <c r="AL22" s="107">
        <f>IF(AL$13=1,Actuals!AM26,sum(AL18:AL21))</f>
        <v>24008431.79</v>
      </c>
      <c r="AM22" s="107">
        <f>IF(AM$13=1,Actuals!AN26,sum(AM18:AM21))</f>
        <v>24624948.5</v>
      </c>
      <c r="AN22" s="107">
        <f>IF(AN$13=1,Actuals!AO26,sum(AN18:AN21))</f>
        <v>25178499.33</v>
      </c>
      <c r="AO22" s="107">
        <f>IF(AO$13=1,Actuals!AP26,sum(AO18:AO21))</f>
        <v>25681316.41</v>
      </c>
      <c r="AP22" s="107">
        <f>IF(AP$13=1,Actuals!AQ26,sum(AP18:AP21))</f>
        <v>26217747.49</v>
      </c>
      <c r="AQ22" s="107">
        <f>IF(AQ$13=1,Actuals!AR26,sum(AQ18:AQ21))</f>
        <v>26782906.13</v>
      </c>
      <c r="AR22" s="107">
        <f>IF(AR$13=1,Actuals!AS26,sum(AR18:AR21))</f>
        <v>27347492.4</v>
      </c>
      <c r="AS22" s="107">
        <f>IF(AS$13=1,Actuals!AT26,sum(AS18:AS21))</f>
        <v>27913328.89</v>
      </c>
      <c r="AT22" s="107">
        <f>IF(AT$13=1,Actuals!AU26,sum(AT18:AT21))</f>
        <v>28480350.6</v>
      </c>
      <c r="AU22" s="107">
        <f>IF(AU$13=1,Actuals!AV26,sum(AU18:AU21))</f>
        <v>29046528.98</v>
      </c>
      <c r="AV22" s="107">
        <f>IF(AV$13=1,Actuals!AW26,sum(AV18:AV21))</f>
        <v>29614277.91</v>
      </c>
      <c r="AW22" s="107">
        <f>IF(AW$13=1,Actuals!AX26,sum(AW18:AW21))</f>
        <v>30181945.53</v>
      </c>
      <c r="AX22" s="107">
        <f>IF(AX$13=1,Actuals!AY26,sum(AX18:AX21))</f>
        <v>30748317.57</v>
      </c>
      <c r="AY22" s="107">
        <f>IF(AY$13=1,Actuals!AZ26,sum(AY18:AY21))</f>
        <v>31314169.77</v>
      </c>
      <c r="AZ22" s="107">
        <f>IF(AZ$13=1,Actuals!BA26,sum(AZ18:AZ21))</f>
        <v>31880255.83</v>
      </c>
      <c r="BA22" s="107">
        <f>IF(BA$13=1,Actuals!BB26,sum(BA18:BA21))</f>
        <v>32446008.43</v>
      </c>
      <c r="BB22" s="107">
        <f>IF(BB$13=1,Actuals!BC26,sum(BB18:BB21))</f>
        <v>33012269.25</v>
      </c>
      <c r="BC22" s="107">
        <f>IF(BC$13=1,Actuals!BD26,sum(BC18:BC21))</f>
        <v>33579149.36</v>
      </c>
      <c r="BD22" s="107">
        <f>IF(BD$13=1,Actuals!BE26,sum(BD18:BD21))</f>
        <v>34146142.98</v>
      </c>
      <c r="BE22" s="107">
        <f>IF(BE$13=1,Actuals!BF26,sum(BE18:BE21))</f>
        <v>34712916.37</v>
      </c>
      <c r="BF22" s="107">
        <f>IF(BF$13=1,Actuals!BG26,sum(BF18:BF21))</f>
        <v>35279666.9</v>
      </c>
      <c r="BG22" s="107">
        <f>IF(BG$13=1,Actuals!BH26,sum(BG18:BG21))</f>
        <v>35846010.17</v>
      </c>
      <c r="BH22" s="107">
        <f>IF(BH$13=1,Actuals!BI26,sum(BH18:BH21))</f>
        <v>36412072.18</v>
      </c>
      <c r="BI22" s="107">
        <f>IF(BI$13=1,Actuals!BJ26,sum(BI18:BI21))</f>
        <v>36978237.62</v>
      </c>
      <c r="BJ22" s="107">
        <f>IF(BJ$13=1,Actuals!BK26,sum(BJ18:BJ21))</f>
        <v>37544632.96</v>
      </c>
      <c r="BK22" s="107">
        <f>IF(BK$13=1,Actuals!BL26,sum(BK18:BK21))</f>
        <v>38111166.55</v>
      </c>
      <c r="BL22" s="107">
        <f>IF(BL$13=1,Actuals!BM26,sum(BL18:BL21))</f>
        <v>38677898.39</v>
      </c>
      <c r="BM22" s="107">
        <f>IF(BM$13=1,Actuals!BN26,sum(BM18:BM21))</f>
        <v>39244645.88</v>
      </c>
      <c r="BN22" s="107">
        <f>IF(BN$13=1,Actuals!BO26,sum(BN18:BN21))</f>
        <v>39811230.11</v>
      </c>
      <c r="BO22" s="107">
        <f>IF(BO$13=1,Actuals!BP26,sum(BO18:BO21))</f>
        <v>40377649.1</v>
      </c>
      <c r="BP22" s="107">
        <f>IF(BP$13=1,Actuals!BQ26,sum(BP18:BP21))</f>
        <v>40943992.64</v>
      </c>
      <c r="BQ22" s="107">
        <f>IF(BQ$13=1,Actuals!BR26,sum(BQ18:BQ21))</f>
        <v>41510292.72</v>
      </c>
      <c r="BR22" s="107">
        <f>IF(BR$13=1,Actuals!BS26,sum(BR18:BR21))</f>
        <v>42076670.28</v>
      </c>
      <c r="BS22" s="107">
        <f>IF(BS$13=1,Actuals!BT26,sum(BS18:BS21))</f>
        <v>42643184.91</v>
      </c>
      <c r="BT22" s="107">
        <f>IF(BT$13=1,Actuals!BU26,sum(BT18:BT21))</f>
        <v>43209783.39</v>
      </c>
      <c r="BU22" s="20"/>
    </row>
    <row r="23">
      <c r="A23" s="20"/>
      <c r="B23" s="109"/>
      <c r="C23" s="109"/>
      <c r="D23" s="109"/>
      <c r="E23" s="109"/>
      <c r="F23" s="178"/>
      <c r="G23" s="109"/>
      <c r="H23" s="109"/>
      <c r="I23" s="109"/>
      <c r="J23" s="109"/>
      <c r="K23" s="109"/>
      <c r="L23" s="20"/>
      <c r="M23" s="109"/>
      <c r="N23" s="109"/>
      <c r="O23" s="109"/>
      <c r="P23" s="109"/>
      <c r="Q23" s="109"/>
      <c r="R23" s="109"/>
      <c r="S23" s="109"/>
      <c r="T23" s="109"/>
      <c r="U23" s="109"/>
      <c r="V23" s="109"/>
      <c r="W23" s="109"/>
      <c r="X23" s="109"/>
      <c r="Y23" s="109"/>
      <c r="Z23" s="109"/>
      <c r="AA23" s="109"/>
      <c r="AB23" s="109"/>
      <c r="AC23" s="109"/>
      <c r="AD23" s="109"/>
      <c r="AE23" s="109"/>
      <c r="AF23" s="109"/>
      <c r="AG23" s="109"/>
      <c r="AH23" s="109"/>
      <c r="AI23" s="109"/>
      <c r="AJ23" s="109"/>
      <c r="AK23" s="109"/>
      <c r="AL23" s="109"/>
      <c r="AM23" s="109"/>
      <c r="AN23" s="109"/>
      <c r="AO23" s="109"/>
      <c r="AP23" s="109"/>
      <c r="AQ23" s="109"/>
      <c r="AR23" s="109"/>
      <c r="AS23" s="109"/>
      <c r="AT23" s="109"/>
      <c r="AU23" s="109"/>
      <c r="AV23" s="109"/>
      <c r="AW23" s="109"/>
      <c r="AX23" s="109"/>
      <c r="AY23" s="109"/>
      <c r="AZ23" s="109"/>
      <c r="BA23" s="109"/>
      <c r="BB23" s="109"/>
      <c r="BC23" s="109"/>
      <c r="BD23" s="109"/>
      <c r="BE23" s="109"/>
      <c r="BF23" s="109"/>
      <c r="BG23" s="109"/>
      <c r="BH23" s="109"/>
      <c r="BI23" s="109"/>
      <c r="BJ23" s="109"/>
      <c r="BK23" s="109"/>
      <c r="BL23" s="109"/>
      <c r="BM23" s="109"/>
      <c r="BN23" s="109"/>
      <c r="BO23" s="109"/>
      <c r="BP23" s="109"/>
      <c r="BQ23" s="109"/>
      <c r="BR23" s="109"/>
      <c r="BS23" s="109"/>
      <c r="BT23" s="109"/>
      <c r="BU23" s="20"/>
    </row>
    <row r="24">
      <c r="A24" s="20"/>
      <c r="B24" s="148" t="str">
        <f>'Customer Control'!B23</f>
        <v>Net new customers</v>
      </c>
      <c r="C24" s="136"/>
      <c r="D24" s="136"/>
      <c r="E24" s="136"/>
      <c r="F24" s="106" t="s">
        <v>33</v>
      </c>
      <c r="G24" s="112">
        <f>'Customer Control'!F23</f>
        <v>148</v>
      </c>
      <c r="H24" s="112">
        <f>'Customer Control'!G23</f>
        <v>146.6457452</v>
      </c>
      <c r="I24" s="112">
        <f>'Customer Control'!H23</f>
        <v>158.9773723</v>
      </c>
      <c r="J24" s="112">
        <f>'Customer Control'!I23</f>
        <v>162.5979296</v>
      </c>
      <c r="K24" s="112">
        <f>'Customer Control'!J23</f>
        <v>162.595065</v>
      </c>
      <c r="L24" s="20"/>
      <c r="M24" s="218">
        <f>'Customer Control'!L23</f>
        <v>9</v>
      </c>
      <c r="N24" s="218">
        <f>'Customer Control'!M23</f>
        <v>10</v>
      </c>
      <c r="O24" s="218">
        <f>'Customer Control'!N23</f>
        <v>12</v>
      </c>
      <c r="P24" s="218">
        <f>'Customer Control'!O23</f>
        <v>12</v>
      </c>
      <c r="Q24" s="218">
        <f>'Customer Control'!P23</f>
        <v>13</v>
      </c>
      <c r="R24" s="218">
        <f>'Customer Control'!Q23</f>
        <v>20</v>
      </c>
      <c r="S24" s="218">
        <f>'Customer Control'!R23</f>
        <v>19</v>
      </c>
      <c r="T24" s="218">
        <f>'Customer Control'!S23</f>
        <v>11</v>
      </c>
      <c r="U24" s="218">
        <f>'Customer Control'!T23</f>
        <v>9</v>
      </c>
      <c r="V24" s="218">
        <f>'Customer Control'!U23</f>
        <v>14</v>
      </c>
      <c r="W24" s="218">
        <f>'Customer Control'!V23</f>
        <v>9</v>
      </c>
      <c r="X24" s="218">
        <f>'Customer Control'!W23</f>
        <v>10</v>
      </c>
      <c r="Y24" s="218">
        <f>'Customer Control'!X23</f>
        <v>10</v>
      </c>
      <c r="Z24" s="218">
        <f>'Customer Control'!Y23</f>
        <v>14</v>
      </c>
      <c r="AA24" s="218">
        <f>'Customer Control'!Z23</f>
        <v>4</v>
      </c>
      <c r="AB24" s="218">
        <f>'Customer Control'!AA23</f>
        <v>11</v>
      </c>
      <c r="AC24" s="218">
        <f>'Customer Control'!AB23</f>
        <v>17</v>
      </c>
      <c r="AD24" s="218">
        <f>'Customer Control'!AC23</f>
        <v>12</v>
      </c>
      <c r="AE24" s="218">
        <f>'Customer Control'!AD23</f>
        <v>11.48518519</v>
      </c>
      <c r="AF24" s="218">
        <f>'Customer Control'!AE23</f>
        <v>12.66797957</v>
      </c>
      <c r="AG24" s="218">
        <f>'Customer Control'!AF23</f>
        <v>13.64253384</v>
      </c>
      <c r="AH24" s="218">
        <f>'Customer Control'!AG23</f>
        <v>12.34427586</v>
      </c>
      <c r="AI24" s="218">
        <f>'Customer Control'!AH23</f>
        <v>14.00181488</v>
      </c>
      <c r="AJ24" s="218">
        <f>'Customer Control'!AI23</f>
        <v>14.50395585</v>
      </c>
      <c r="AK24" s="218">
        <f>'Customer Control'!AJ23</f>
        <v>12.40567672</v>
      </c>
      <c r="AL24" s="218">
        <f>'Customer Control'!AK23</f>
        <v>13.23727304</v>
      </c>
      <c r="AM24" s="218">
        <f>'Customer Control'!AL23</f>
        <v>15.3877672</v>
      </c>
      <c r="AN24" s="218">
        <f>'Customer Control'!AM23</f>
        <v>13.05472475</v>
      </c>
      <c r="AO24" s="218">
        <f>'Customer Control'!AN23</f>
        <v>11.21719637</v>
      </c>
      <c r="AP24" s="218">
        <f>'Customer Control'!AO23</f>
        <v>12.46031755</v>
      </c>
      <c r="AQ24" s="218">
        <f>'Customer Control'!AP23</f>
        <v>13.50479405</v>
      </c>
      <c r="AR24" s="218">
        <f>'Customer Control'!AQ23</f>
        <v>13.48136916</v>
      </c>
      <c r="AS24" s="218">
        <f>'Customer Control'!AR23</f>
        <v>13.5251271</v>
      </c>
      <c r="AT24" s="218">
        <f>'Customer Control'!AS23</f>
        <v>13.56655677</v>
      </c>
      <c r="AU24" s="218">
        <f>'Customer Control'!AT23</f>
        <v>13.53900971</v>
      </c>
      <c r="AV24" s="218">
        <f>'Customer Control'!AU23</f>
        <v>13.59755991</v>
      </c>
      <c r="AW24" s="218">
        <f>'Customer Control'!AV23</f>
        <v>13.59343684</v>
      </c>
      <c r="AX24" s="218">
        <f>'Customer Control'!AW23</f>
        <v>13.54559411</v>
      </c>
      <c r="AY24" s="218">
        <f>'Customer Control'!AX23</f>
        <v>13.52643124</v>
      </c>
      <c r="AZ24" s="218">
        <f>'Customer Control'!AY23</f>
        <v>13.53510014</v>
      </c>
      <c r="BA24" s="218">
        <f>'Customer Control'!AZ23</f>
        <v>13.52337136</v>
      </c>
      <c r="BB24" s="218">
        <f>'Customer Control'!BA23</f>
        <v>13.54192453</v>
      </c>
      <c r="BC24" s="218">
        <f>'Customer Control'!BB23</f>
        <v>13.56433807</v>
      </c>
      <c r="BD24" s="218">
        <f>'Customer Control'!BC23</f>
        <v>13.56843147</v>
      </c>
      <c r="BE24" s="218">
        <f>'Customer Control'!BD23</f>
        <v>13.56040636</v>
      </c>
      <c r="BF24" s="218">
        <f>'Customer Control'!BE23</f>
        <v>13.55962445</v>
      </c>
      <c r="BG24" s="218">
        <f>'Customer Control'!BF23</f>
        <v>13.54478674</v>
      </c>
      <c r="BH24" s="218">
        <f>'Customer Control'!BG23</f>
        <v>13.53448428</v>
      </c>
      <c r="BI24" s="218">
        <f>'Customer Control'!BH23</f>
        <v>13.53823307</v>
      </c>
      <c r="BJ24" s="218">
        <f>'Customer Control'!BI23</f>
        <v>13.54663311</v>
      </c>
      <c r="BK24" s="218">
        <f>'Customer Control'!BJ23</f>
        <v>13.55169436</v>
      </c>
      <c r="BL24" s="218">
        <f>'Customer Control'!BK23</f>
        <v>13.55894497</v>
      </c>
      <c r="BM24" s="218">
        <f>'Customer Control'!BL23</f>
        <v>13.55951742</v>
      </c>
      <c r="BN24" s="218">
        <f>'Customer Control'!BM23</f>
        <v>13.55354666</v>
      </c>
      <c r="BO24" s="218">
        <f>'Customer Control'!BN23</f>
        <v>13.54750698</v>
      </c>
      <c r="BP24" s="218">
        <f>'Customer Control'!BO23</f>
        <v>13.54475233</v>
      </c>
      <c r="BQ24" s="218">
        <f>'Customer Control'!BP23</f>
        <v>13.54316631</v>
      </c>
      <c r="BR24" s="218">
        <f>'Customer Control'!BQ23</f>
        <v>13.54599796</v>
      </c>
      <c r="BS24" s="218">
        <f>'Customer Control'!BR23</f>
        <v>13.55100459</v>
      </c>
      <c r="BT24" s="218">
        <f>'Customer Control'!BS23</f>
        <v>13.5540673</v>
      </c>
      <c r="BU24" s="20"/>
    </row>
    <row r="25">
      <c r="A25" s="20"/>
      <c r="B25" s="109"/>
      <c r="C25" s="109"/>
      <c r="D25" s="109"/>
      <c r="E25" s="109"/>
      <c r="F25" s="178"/>
      <c r="G25" s="109"/>
      <c r="H25" s="109"/>
      <c r="I25" s="109"/>
      <c r="J25" s="109"/>
      <c r="K25" s="109"/>
      <c r="L25" s="20"/>
      <c r="M25" s="109"/>
      <c r="N25" s="109"/>
      <c r="O25" s="109"/>
      <c r="P25" s="109"/>
      <c r="Q25" s="109"/>
      <c r="R25" s="109"/>
      <c r="S25" s="109"/>
      <c r="T25" s="109"/>
      <c r="U25" s="109"/>
      <c r="V25" s="109"/>
      <c r="W25" s="109"/>
      <c r="X25" s="109"/>
      <c r="Y25" s="109"/>
      <c r="Z25" s="109"/>
      <c r="AA25" s="109"/>
      <c r="AB25" s="109"/>
      <c r="AC25" s="109"/>
      <c r="AD25" s="109"/>
      <c r="AE25" s="109"/>
      <c r="AF25" s="109"/>
      <c r="AG25" s="109"/>
      <c r="AH25" s="109"/>
      <c r="AI25" s="109"/>
      <c r="AJ25" s="109"/>
      <c r="AK25" s="109"/>
      <c r="AL25" s="109"/>
      <c r="AM25" s="109"/>
      <c r="AN25" s="109"/>
      <c r="AO25" s="109"/>
      <c r="AP25" s="109"/>
      <c r="AQ25" s="109"/>
      <c r="AR25" s="109"/>
      <c r="AS25" s="109"/>
      <c r="AT25" s="109"/>
      <c r="AU25" s="109"/>
      <c r="AV25" s="109"/>
      <c r="AW25" s="109"/>
      <c r="AX25" s="109"/>
      <c r="AY25" s="109"/>
      <c r="AZ25" s="109"/>
      <c r="BA25" s="109"/>
      <c r="BB25" s="109"/>
      <c r="BC25" s="109"/>
      <c r="BD25" s="109"/>
      <c r="BE25" s="109"/>
      <c r="BF25" s="109"/>
      <c r="BG25" s="109"/>
      <c r="BH25" s="109"/>
      <c r="BI25" s="109"/>
      <c r="BJ25" s="109"/>
      <c r="BK25" s="109"/>
      <c r="BL25" s="109"/>
      <c r="BM25" s="109"/>
      <c r="BN25" s="109"/>
      <c r="BO25" s="109"/>
      <c r="BP25" s="109"/>
      <c r="BQ25" s="109"/>
      <c r="BR25" s="109"/>
      <c r="BS25" s="109"/>
      <c r="BT25" s="109"/>
      <c r="BU25" s="20"/>
    </row>
    <row r="26">
      <c r="A26" s="20"/>
      <c r="B26" s="102" t="s">
        <v>53</v>
      </c>
      <c r="C26" s="103"/>
      <c r="D26" s="103"/>
      <c r="E26" s="103"/>
      <c r="F26" s="219"/>
      <c r="G26" s="103"/>
      <c r="H26" s="103"/>
      <c r="I26" s="103"/>
      <c r="J26" s="103"/>
      <c r="K26" s="103"/>
      <c r="L26" s="103"/>
      <c r="M26" s="103"/>
      <c r="N26" s="103"/>
      <c r="O26" s="103"/>
      <c r="P26" s="103"/>
      <c r="Q26" s="103"/>
      <c r="R26" s="103"/>
      <c r="S26" s="103"/>
      <c r="T26" s="103"/>
      <c r="U26" s="103"/>
      <c r="V26" s="103"/>
      <c r="W26" s="103"/>
      <c r="X26" s="103"/>
      <c r="Y26" s="103"/>
      <c r="Z26" s="103"/>
      <c r="AA26" s="103"/>
      <c r="AB26" s="103"/>
      <c r="AC26" s="103"/>
      <c r="AD26" s="103"/>
      <c r="AE26" s="103"/>
      <c r="AF26" s="103"/>
      <c r="AG26" s="103"/>
      <c r="AH26" s="103"/>
      <c r="AI26" s="103"/>
      <c r="AJ26" s="103"/>
      <c r="AK26" s="103"/>
      <c r="AL26" s="103"/>
      <c r="AM26" s="103"/>
      <c r="AN26" s="103"/>
      <c r="AO26" s="103"/>
      <c r="AP26" s="103"/>
      <c r="AQ26" s="103"/>
      <c r="AR26" s="103"/>
      <c r="AS26" s="103"/>
      <c r="AT26" s="103"/>
      <c r="AU26" s="103"/>
      <c r="AV26" s="103"/>
      <c r="AW26" s="103"/>
      <c r="AX26" s="103"/>
      <c r="AY26" s="103"/>
      <c r="AZ26" s="103"/>
      <c r="BA26" s="103"/>
      <c r="BB26" s="103"/>
      <c r="BC26" s="103"/>
      <c r="BD26" s="103"/>
      <c r="BE26" s="103"/>
      <c r="BF26" s="103"/>
      <c r="BG26" s="103"/>
      <c r="BH26" s="103"/>
      <c r="BI26" s="103"/>
      <c r="BJ26" s="103"/>
      <c r="BK26" s="103"/>
      <c r="BL26" s="103"/>
      <c r="BM26" s="103"/>
      <c r="BN26" s="103"/>
      <c r="BO26" s="103"/>
      <c r="BP26" s="103"/>
      <c r="BQ26" s="103"/>
      <c r="BR26" s="103"/>
      <c r="BS26" s="103"/>
      <c r="BT26" s="103"/>
      <c r="BU26" s="20"/>
    </row>
    <row r="27">
      <c r="A27" s="20"/>
      <c r="B27" s="113" t="s">
        <v>54</v>
      </c>
      <c r="C27" s="163"/>
      <c r="D27" s="220"/>
      <c r="E27" s="163"/>
      <c r="F27" s="115" t="s">
        <v>33</v>
      </c>
      <c r="G27" s="112">
        <f t="array" ref="G27">INDEX($M27:$BT27,MATCH(G$7,M$7:BH$7,0))</f>
        <v>500</v>
      </c>
      <c r="H27" s="112">
        <f t="shared" ref="H27:K27" si="20">INDEX($M27:$BH27,MATCH(H$7,N$7:BU$7,0))</f>
        <v>638</v>
      </c>
      <c r="I27" s="112">
        <f t="shared" si="20"/>
        <v>766.1399745</v>
      </c>
      <c r="J27" s="112">
        <f t="shared" si="20"/>
        <v>912.9199911</v>
      </c>
      <c r="K27" s="112">
        <f t="shared" si="20"/>
        <v>1062.021745</v>
      </c>
      <c r="L27" s="20"/>
      <c r="M27" s="112">
        <f>'Customer Control'!L18</f>
        <v>500</v>
      </c>
      <c r="N27" s="112">
        <f>'Customer Control'!M18</f>
        <v>509</v>
      </c>
      <c r="O27" s="112">
        <f>'Customer Control'!N18</f>
        <v>519</v>
      </c>
      <c r="P27" s="112">
        <f>'Customer Control'!O18</f>
        <v>531</v>
      </c>
      <c r="Q27" s="112">
        <f>'Customer Control'!P18</f>
        <v>543</v>
      </c>
      <c r="R27" s="112">
        <f>'Customer Control'!Q18</f>
        <v>556</v>
      </c>
      <c r="S27" s="112">
        <f>'Customer Control'!R18</f>
        <v>576</v>
      </c>
      <c r="T27" s="112">
        <f>'Customer Control'!S18</f>
        <v>595</v>
      </c>
      <c r="U27" s="112">
        <f>'Customer Control'!T18</f>
        <v>606</v>
      </c>
      <c r="V27" s="112">
        <f>'Customer Control'!U18</f>
        <v>615</v>
      </c>
      <c r="W27" s="112">
        <f>'Customer Control'!V18</f>
        <v>629</v>
      </c>
      <c r="X27" s="112">
        <f>'Customer Control'!W18</f>
        <v>638</v>
      </c>
      <c r="Y27" s="112">
        <f>'Customer Control'!X18</f>
        <v>648</v>
      </c>
      <c r="Z27" s="112">
        <f>'Customer Control'!Y18</f>
        <v>658</v>
      </c>
      <c r="AA27" s="112">
        <f>'Customer Control'!Z18</f>
        <v>672</v>
      </c>
      <c r="AB27" s="112">
        <f>'Customer Control'!AA18</f>
        <v>676</v>
      </c>
      <c r="AC27" s="112">
        <f>'Customer Control'!AB18</f>
        <v>687</v>
      </c>
      <c r="AD27" s="112">
        <f>'Customer Control'!AC18</f>
        <v>704</v>
      </c>
      <c r="AE27" s="112">
        <f>'Customer Control'!AD18</f>
        <v>716</v>
      </c>
      <c r="AF27" s="112">
        <f>'Customer Control'!AE18</f>
        <v>727.4851852</v>
      </c>
      <c r="AG27" s="112">
        <f>'Customer Control'!AF18</f>
        <v>740.1531648</v>
      </c>
      <c r="AH27" s="112">
        <f>'Customer Control'!AG18</f>
        <v>753.7956986</v>
      </c>
      <c r="AI27" s="112">
        <f>'Customer Control'!AH18</f>
        <v>766.1399745</v>
      </c>
      <c r="AJ27" s="112">
        <f>'Customer Control'!AI18</f>
        <v>780.1417893</v>
      </c>
      <c r="AK27" s="112">
        <f>'Customer Control'!AJ18</f>
        <v>794.6457452</v>
      </c>
      <c r="AL27" s="112">
        <f>'Customer Control'!AK18</f>
        <v>807.0514219</v>
      </c>
      <c r="AM27" s="112">
        <f>'Customer Control'!AL18</f>
        <v>820.2886949</v>
      </c>
      <c r="AN27" s="112">
        <f>'Customer Control'!AM18</f>
        <v>835.6764621</v>
      </c>
      <c r="AO27" s="112">
        <f>'Customer Control'!AN18</f>
        <v>848.7311869</v>
      </c>
      <c r="AP27" s="112">
        <f>'Customer Control'!AO18</f>
        <v>859.9483833</v>
      </c>
      <c r="AQ27" s="112">
        <f>'Customer Control'!AP18</f>
        <v>872.4087008</v>
      </c>
      <c r="AR27" s="112">
        <f>'Customer Control'!AQ18</f>
        <v>885.9134949</v>
      </c>
      <c r="AS27" s="112">
        <f>'Customer Control'!AR18</f>
        <v>899.394864</v>
      </c>
      <c r="AT27" s="112">
        <f>'Customer Control'!AS18</f>
        <v>912.9199911</v>
      </c>
      <c r="AU27" s="112">
        <f>'Customer Control'!AT18</f>
        <v>926.4865479</v>
      </c>
      <c r="AV27" s="112">
        <f>'Customer Control'!AU18</f>
        <v>940.0255576</v>
      </c>
      <c r="AW27" s="112">
        <f>'Customer Control'!AV18</f>
        <v>953.6231175</v>
      </c>
      <c r="AX27" s="112">
        <f>'Customer Control'!AW18</f>
        <v>967.2165544</v>
      </c>
      <c r="AY27" s="112">
        <f>'Customer Control'!AX18</f>
        <v>980.7621485</v>
      </c>
      <c r="AZ27" s="112">
        <f>'Customer Control'!AY18</f>
        <v>994.2885797</v>
      </c>
      <c r="BA27" s="112">
        <f>'Customer Control'!AZ18</f>
        <v>1007.82368</v>
      </c>
      <c r="BB27" s="112">
        <f>'Customer Control'!BA18</f>
        <v>1021.347051</v>
      </c>
      <c r="BC27" s="112">
        <f>'Customer Control'!BB18</f>
        <v>1034.888976</v>
      </c>
      <c r="BD27" s="112">
        <f>'Customer Control'!BC18</f>
        <v>1048.453314</v>
      </c>
      <c r="BE27" s="112">
        <f>'Customer Control'!BD18</f>
        <v>1062.021745</v>
      </c>
      <c r="BF27" s="112">
        <f>'Customer Control'!BE18</f>
        <v>1075.582152</v>
      </c>
      <c r="BG27" s="112">
        <f>'Customer Control'!BF18</f>
        <v>1089.141776</v>
      </c>
      <c r="BH27" s="112">
        <f>'Customer Control'!BG18</f>
        <v>1102.686563</v>
      </c>
      <c r="BI27" s="112">
        <f>'Customer Control'!BH18</f>
        <v>1116.221047</v>
      </c>
      <c r="BJ27" s="112">
        <f>'Customer Control'!BI18</f>
        <v>1129.75928</v>
      </c>
      <c r="BK27" s="112">
        <f>'Customer Control'!BJ18</f>
        <v>1143.305913</v>
      </c>
      <c r="BL27" s="112">
        <f>'Customer Control'!BK18</f>
        <v>1156.857608</v>
      </c>
      <c r="BM27" s="112">
        <f>'Customer Control'!BL18</f>
        <v>1170.416553</v>
      </c>
      <c r="BN27" s="112">
        <f>'Customer Control'!BM18</f>
        <v>1183.97607</v>
      </c>
      <c r="BO27" s="112">
        <f>'Customer Control'!BN18</f>
        <v>1197.529617</v>
      </c>
      <c r="BP27" s="112">
        <f>'Customer Control'!BO18</f>
        <v>1211.077124</v>
      </c>
      <c r="BQ27" s="112">
        <f>'Customer Control'!BP18</f>
        <v>1224.621876</v>
      </c>
      <c r="BR27" s="112">
        <f>'Customer Control'!BQ18</f>
        <v>1238.165042</v>
      </c>
      <c r="BS27" s="112">
        <f>'Customer Control'!BR18</f>
        <v>1251.71104</v>
      </c>
      <c r="BT27" s="112">
        <f>'Customer Control'!BS18</f>
        <v>1265.262045</v>
      </c>
      <c r="BU27" s="20"/>
    </row>
    <row r="28">
      <c r="A28" s="20"/>
      <c r="B28" s="110" t="s">
        <v>55</v>
      </c>
      <c r="C28" s="136"/>
      <c r="D28" s="135"/>
      <c r="E28" s="136"/>
      <c r="F28" s="106" t="s">
        <v>33</v>
      </c>
      <c r="G28" s="112">
        <f t="shared" ref="G28:K28" si="21">SUMIFS($M28:$BT28,$M$15:$BT$15,G$15)</f>
        <v>248</v>
      </c>
      <c r="H28" s="112">
        <f t="shared" si="21"/>
        <v>240</v>
      </c>
      <c r="I28" s="112">
        <f t="shared" si="21"/>
        <v>228</v>
      </c>
      <c r="J28" s="112">
        <f t="shared" si="21"/>
        <v>228</v>
      </c>
      <c r="K28" s="112">
        <f t="shared" si="21"/>
        <v>228</v>
      </c>
      <c r="L28" s="20"/>
      <c r="M28" s="112">
        <f>'Customer Control'!L19</f>
        <v>16</v>
      </c>
      <c r="N28" s="112">
        <f>'Customer Control'!M19</f>
        <v>21</v>
      </c>
      <c r="O28" s="112">
        <f>'Customer Control'!N19</f>
        <v>23</v>
      </c>
      <c r="P28" s="112">
        <f>'Customer Control'!O19</f>
        <v>19</v>
      </c>
      <c r="Q28" s="112">
        <f>'Customer Control'!P19</f>
        <v>18</v>
      </c>
      <c r="R28" s="112">
        <f>'Customer Control'!Q19</f>
        <v>28</v>
      </c>
      <c r="S28" s="112">
        <f>'Customer Control'!R19</f>
        <v>25</v>
      </c>
      <c r="T28" s="112">
        <f>'Customer Control'!S19</f>
        <v>23</v>
      </c>
      <c r="U28" s="112">
        <f>'Customer Control'!T19</f>
        <v>19</v>
      </c>
      <c r="V28" s="112">
        <f>'Customer Control'!U19</f>
        <v>23</v>
      </c>
      <c r="W28" s="112">
        <f>'Customer Control'!V19</f>
        <v>17</v>
      </c>
      <c r="X28" s="112">
        <f>'Customer Control'!W19</f>
        <v>16</v>
      </c>
      <c r="Y28" s="112">
        <f>'Customer Control'!X19</f>
        <v>22</v>
      </c>
      <c r="Z28" s="112">
        <f>'Customer Control'!Y19</f>
        <v>20</v>
      </c>
      <c r="AA28" s="112">
        <f>'Customer Control'!Z19</f>
        <v>13</v>
      </c>
      <c r="AB28" s="112">
        <f>'Customer Control'!AA19</f>
        <v>21</v>
      </c>
      <c r="AC28" s="112">
        <f>'Customer Control'!AB19</f>
        <v>27</v>
      </c>
      <c r="AD28" s="112">
        <f>'Customer Control'!AC19</f>
        <v>23</v>
      </c>
      <c r="AE28" s="112">
        <f>'Customer Control'!AD19</f>
        <v>19</v>
      </c>
      <c r="AF28" s="112">
        <f>'Customer Control'!AE19</f>
        <v>19</v>
      </c>
      <c r="AG28" s="112">
        <f>'Customer Control'!AF19</f>
        <v>19</v>
      </c>
      <c r="AH28" s="112">
        <f>'Customer Control'!AG19</f>
        <v>19</v>
      </c>
      <c r="AI28" s="112">
        <f>'Customer Control'!AH19</f>
        <v>19</v>
      </c>
      <c r="AJ28" s="112">
        <f>'Customer Control'!AI19</f>
        <v>19</v>
      </c>
      <c r="AK28" s="112">
        <f>'Customer Control'!AJ19</f>
        <v>19</v>
      </c>
      <c r="AL28" s="112">
        <f>'Customer Control'!AK19</f>
        <v>19</v>
      </c>
      <c r="AM28" s="112">
        <f>'Customer Control'!AL19</f>
        <v>19</v>
      </c>
      <c r="AN28" s="112">
        <f>'Customer Control'!AM19</f>
        <v>19</v>
      </c>
      <c r="AO28" s="112">
        <f>'Customer Control'!AN19</f>
        <v>19</v>
      </c>
      <c r="AP28" s="112">
        <f>'Customer Control'!AO19</f>
        <v>19</v>
      </c>
      <c r="AQ28" s="112">
        <f>'Customer Control'!AP19</f>
        <v>19</v>
      </c>
      <c r="AR28" s="112">
        <f>'Customer Control'!AQ19</f>
        <v>19</v>
      </c>
      <c r="AS28" s="112">
        <f>'Customer Control'!AR19</f>
        <v>19</v>
      </c>
      <c r="AT28" s="112">
        <f>'Customer Control'!AS19</f>
        <v>19</v>
      </c>
      <c r="AU28" s="112">
        <f>'Customer Control'!AT19</f>
        <v>19</v>
      </c>
      <c r="AV28" s="112">
        <f>'Customer Control'!AU19</f>
        <v>19</v>
      </c>
      <c r="AW28" s="112">
        <f>'Customer Control'!AV19</f>
        <v>19</v>
      </c>
      <c r="AX28" s="112">
        <f>'Customer Control'!AW19</f>
        <v>19</v>
      </c>
      <c r="AY28" s="112">
        <f>'Customer Control'!AX19</f>
        <v>19</v>
      </c>
      <c r="AZ28" s="112">
        <f>'Customer Control'!AY19</f>
        <v>19</v>
      </c>
      <c r="BA28" s="112">
        <f>'Customer Control'!AZ19</f>
        <v>19</v>
      </c>
      <c r="BB28" s="112">
        <f>'Customer Control'!BA19</f>
        <v>19</v>
      </c>
      <c r="BC28" s="112">
        <f>'Customer Control'!BB19</f>
        <v>19</v>
      </c>
      <c r="BD28" s="112">
        <f>'Customer Control'!BC19</f>
        <v>19</v>
      </c>
      <c r="BE28" s="112">
        <f>'Customer Control'!BD19</f>
        <v>19</v>
      </c>
      <c r="BF28" s="112">
        <f>'Customer Control'!BE19</f>
        <v>19</v>
      </c>
      <c r="BG28" s="112">
        <f>'Customer Control'!BF19</f>
        <v>19</v>
      </c>
      <c r="BH28" s="112">
        <f>'Customer Control'!BG19</f>
        <v>19</v>
      </c>
      <c r="BI28" s="112">
        <f>'Customer Control'!BH19</f>
        <v>19</v>
      </c>
      <c r="BJ28" s="112">
        <f>'Customer Control'!BI19</f>
        <v>19</v>
      </c>
      <c r="BK28" s="112">
        <f>'Customer Control'!BJ19</f>
        <v>19</v>
      </c>
      <c r="BL28" s="112">
        <f>'Customer Control'!BK19</f>
        <v>19</v>
      </c>
      <c r="BM28" s="112">
        <f>'Customer Control'!BL19</f>
        <v>19</v>
      </c>
      <c r="BN28" s="112">
        <f>'Customer Control'!BM19</f>
        <v>19</v>
      </c>
      <c r="BO28" s="112">
        <f>'Customer Control'!BN19</f>
        <v>19</v>
      </c>
      <c r="BP28" s="112">
        <f>'Customer Control'!BO19</f>
        <v>19</v>
      </c>
      <c r="BQ28" s="112">
        <f>'Customer Control'!BP19</f>
        <v>19</v>
      </c>
      <c r="BR28" s="112">
        <f>'Customer Control'!BQ19</f>
        <v>19</v>
      </c>
      <c r="BS28" s="112">
        <f>'Customer Control'!BR19</f>
        <v>19</v>
      </c>
      <c r="BT28" s="112">
        <f>'Customer Control'!BS19</f>
        <v>19</v>
      </c>
      <c r="BU28" s="20"/>
    </row>
    <row r="29">
      <c r="A29" s="20"/>
      <c r="B29" s="113" t="s">
        <v>56</v>
      </c>
      <c r="C29" s="163"/>
      <c r="D29" s="220"/>
      <c r="E29" s="163"/>
      <c r="F29" s="115" t="s">
        <v>33</v>
      </c>
      <c r="G29" s="116">
        <f t="shared" ref="G29:K29" si="22">SUMIFS($M29:$BT29,$M$15:$BT$15,G$15)</f>
        <v>-100</v>
      </c>
      <c r="H29" s="116">
        <f t="shared" si="22"/>
        <v>-93.35425481</v>
      </c>
      <c r="I29" s="116">
        <f t="shared" si="22"/>
        <v>-69.02262768</v>
      </c>
      <c r="J29" s="116">
        <f t="shared" si="22"/>
        <v>-65.40207043</v>
      </c>
      <c r="K29" s="116">
        <f t="shared" si="22"/>
        <v>-65.40493496</v>
      </c>
      <c r="L29" s="20"/>
      <c r="M29" s="116">
        <f>'Customer Control'!L20</f>
        <v>-7</v>
      </c>
      <c r="N29" s="116">
        <f>'Customer Control'!M20</f>
        <v>-11</v>
      </c>
      <c r="O29" s="116">
        <f>'Customer Control'!N20</f>
        <v>-11</v>
      </c>
      <c r="P29" s="116">
        <f>'Customer Control'!O20</f>
        <v>-7</v>
      </c>
      <c r="Q29" s="116">
        <f>'Customer Control'!P20</f>
        <v>-5</v>
      </c>
      <c r="R29" s="116">
        <f>'Customer Control'!Q20</f>
        <v>-8</v>
      </c>
      <c r="S29" s="116">
        <f>'Customer Control'!R20</f>
        <v>-6</v>
      </c>
      <c r="T29" s="116">
        <f>'Customer Control'!S20</f>
        <v>-12</v>
      </c>
      <c r="U29" s="116">
        <f>'Customer Control'!T20</f>
        <v>-10</v>
      </c>
      <c r="V29" s="116">
        <f>'Customer Control'!U20</f>
        <v>-9</v>
      </c>
      <c r="W29" s="116">
        <f>'Customer Control'!V20</f>
        <v>-8</v>
      </c>
      <c r="X29" s="116">
        <f>'Customer Control'!W20</f>
        <v>-6</v>
      </c>
      <c r="Y29" s="116">
        <f>'Customer Control'!X20</f>
        <v>-12</v>
      </c>
      <c r="Z29" s="116">
        <f>'Customer Control'!Y20</f>
        <v>-6</v>
      </c>
      <c r="AA29" s="116">
        <f>'Customer Control'!Z20</f>
        <v>-9</v>
      </c>
      <c r="AB29" s="116">
        <f>'Customer Control'!AA20</f>
        <v>-10</v>
      </c>
      <c r="AC29" s="116">
        <f>'Customer Control'!AB20</f>
        <v>-10</v>
      </c>
      <c r="AD29" s="116">
        <f>'Customer Control'!AC20</f>
        <v>-11</v>
      </c>
      <c r="AE29" s="116">
        <f>'Customer Control'!AD20</f>
        <v>-7.514814815</v>
      </c>
      <c r="AF29" s="116">
        <f>'Customer Control'!AE20</f>
        <v>-6.332020434</v>
      </c>
      <c r="AG29" s="116">
        <f>'Customer Control'!AF20</f>
        <v>-5.357466156</v>
      </c>
      <c r="AH29" s="116">
        <f>'Customer Control'!AG20</f>
        <v>-6.655724138</v>
      </c>
      <c r="AI29" s="116">
        <f>'Customer Control'!AH20</f>
        <v>-4.998185118</v>
      </c>
      <c r="AJ29" s="116">
        <f>'Customer Control'!AI20</f>
        <v>-4.496044147</v>
      </c>
      <c r="AK29" s="116">
        <f>'Customer Control'!AJ20</f>
        <v>-6.594323282</v>
      </c>
      <c r="AL29" s="116">
        <f>'Customer Control'!AK20</f>
        <v>-5.762726959</v>
      </c>
      <c r="AM29" s="116">
        <f>'Customer Control'!AL20</f>
        <v>-3.612232805</v>
      </c>
      <c r="AN29" s="116">
        <f>'Customer Control'!AM20</f>
        <v>-5.945275245</v>
      </c>
      <c r="AO29" s="116">
        <f>'Customer Control'!AN20</f>
        <v>-7.78280363</v>
      </c>
      <c r="AP29" s="116">
        <f>'Customer Control'!AO20</f>
        <v>-6.539682451</v>
      </c>
      <c r="AQ29" s="116">
        <f>'Customer Control'!AP20</f>
        <v>-5.495205951</v>
      </c>
      <c r="AR29" s="116">
        <f>'Customer Control'!AQ20</f>
        <v>-5.518630842</v>
      </c>
      <c r="AS29" s="116">
        <f>'Customer Control'!AR20</f>
        <v>-5.474872898</v>
      </c>
      <c r="AT29" s="116">
        <f>'Customer Control'!AS20</f>
        <v>-5.43344323</v>
      </c>
      <c r="AU29" s="116">
        <f>'Customer Control'!AT20</f>
        <v>-5.460990292</v>
      </c>
      <c r="AV29" s="116">
        <f>'Customer Control'!AU20</f>
        <v>-5.402440091</v>
      </c>
      <c r="AW29" s="116">
        <f>'Customer Control'!AV20</f>
        <v>-5.406563159</v>
      </c>
      <c r="AX29" s="116">
        <f>'Customer Control'!AW20</f>
        <v>-5.454405892</v>
      </c>
      <c r="AY29" s="116">
        <f>'Customer Control'!AX20</f>
        <v>-5.473568761</v>
      </c>
      <c r="AZ29" s="116">
        <f>'Customer Control'!AY20</f>
        <v>-5.464899859</v>
      </c>
      <c r="BA29" s="116">
        <f>'Customer Control'!AZ20</f>
        <v>-5.476628643</v>
      </c>
      <c r="BB29" s="116">
        <f>'Customer Control'!BA20</f>
        <v>-5.458075471</v>
      </c>
      <c r="BC29" s="116">
        <f>'Customer Control'!BB20</f>
        <v>-5.435661934</v>
      </c>
      <c r="BD29" s="116">
        <f>'Customer Control'!BC20</f>
        <v>-5.431568533</v>
      </c>
      <c r="BE29" s="116">
        <f>'Customer Control'!BD20</f>
        <v>-5.439593639</v>
      </c>
      <c r="BF29" s="116">
        <f>'Customer Control'!BE20</f>
        <v>-5.440375552</v>
      </c>
      <c r="BG29" s="116">
        <f>'Customer Control'!BF20</f>
        <v>-5.455213263</v>
      </c>
      <c r="BH29" s="116">
        <f>'Customer Control'!BG20</f>
        <v>-5.465515725</v>
      </c>
      <c r="BI29" s="116">
        <f>'Customer Control'!BH20</f>
        <v>-5.461766933</v>
      </c>
      <c r="BJ29" s="116">
        <f>'Customer Control'!BI20</f>
        <v>-5.453366888</v>
      </c>
      <c r="BK29" s="116">
        <f>'Customer Control'!BJ20</f>
        <v>-5.448305644</v>
      </c>
      <c r="BL29" s="116">
        <f>'Customer Control'!BK20</f>
        <v>-5.441055026</v>
      </c>
      <c r="BM29" s="116">
        <f>'Customer Control'!BL20</f>
        <v>-5.440482584</v>
      </c>
      <c r="BN29" s="116">
        <f>'Customer Control'!BM20</f>
        <v>-5.446453342</v>
      </c>
      <c r="BO29" s="116">
        <f>'Customer Control'!BN20</f>
        <v>-5.452493022</v>
      </c>
      <c r="BP29" s="116">
        <f>'Customer Control'!BO20</f>
        <v>-5.455247672</v>
      </c>
      <c r="BQ29" s="116">
        <f>'Customer Control'!BP20</f>
        <v>-5.45683369</v>
      </c>
      <c r="BR29" s="116">
        <f>'Customer Control'!BQ20</f>
        <v>-5.454002043</v>
      </c>
      <c r="BS29" s="116">
        <f>'Customer Control'!BR20</f>
        <v>-5.448995415</v>
      </c>
      <c r="BT29" s="116">
        <f>'Customer Control'!BS20</f>
        <v>-5.445932697</v>
      </c>
      <c r="BU29" s="20"/>
    </row>
    <row r="30">
      <c r="A30" s="20"/>
      <c r="B30" s="118" t="s">
        <v>57</v>
      </c>
      <c r="C30" s="217"/>
      <c r="D30" s="221"/>
      <c r="E30" s="217"/>
      <c r="F30" s="120" t="s">
        <v>33</v>
      </c>
      <c r="G30" s="121">
        <f t="shared" ref="G30:K30" si="23">INDEX($M30:$BT30,MATCH(G$8,M$8:BT$8,0))</f>
        <v>648</v>
      </c>
      <c r="H30" s="121">
        <f t="shared" si="23"/>
        <v>780.1417893</v>
      </c>
      <c r="I30" s="121">
        <f t="shared" si="23"/>
        <v>926.4865479</v>
      </c>
      <c r="J30" s="121">
        <f t="shared" si="23"/>
        <v>1075.582152</v>
      </c>
      <c r="K30" s="121">
        <f t="shared" si="23"/>
        <v>1224.621876</v>
      </c>
      <c r="L30" s="20"/>
      <c r="M30" s="128">
        <f>'Customer Control'!L21</f>
        <v>509</v>
      </c>
      <c r="N30" s="128">
        <f>'Customer Control'!M21</f>
        <v>519</v>
      </c>
      <c r="O30" s="128">
        <f>'Customer Control'!N21</f>
        <v>531</v>
      </c>
      <c r="P30" s="128">
        <f>'Customer Control'!O21</f>
        <v>543</v>
      </c>
      <c r="Q30" s="128">
        <f>'Customer Control'!P21</f>
        <v>556</v>
      </c>
      <c r="R30" s="128">
        <f>'Customer Control'!Q21</f>
        <v>576</v>
      </c>
      <c r="S30" s="128">
        <f>'Customer Control'!R21</f>
        <v>595</v>
      </c>
      <c r="T30" s="128">
        <f>'Customer Control'!S21</f>
        <v>606</v>
      </c>
      <c r="U30" s="128">
        <f>'Customer Control'!T21</f>
        <v>615</v>
      </c>
      <c r="V30" s="128">
        <f>'Customer Control'!U21</f>
        <v>629</v>
      </c>
      <c r="W30" s="128">
        <f>'Customer Control'!V21</f>
        <v>638</v>
      </c>
      <c r="X30" s="128">
        <f>'Customer Control'!W21</f>
        <v>648</v>
      </c>
      <c r="Y30" s="128">
        <f>'Customer Control'!X21</f>
        <v>658</v>
      </c>
      <c r="Z30" s="128">
        <f>'Customer Control'!Y21</f>
        <v>672</v>
      </c>
      <c r="AA30" s="128">
        <f>'Customer Control'!Z21</f>
        <v>676</v>
      </c>
      <c r="AB30" s="128">
        <f>'Customer Control'!AA21</f>
        <v>687</v>
      </c>
      <c r="AC30" s="128">
        <f>'Customer Control'!AB21</f>
        <v>704</v>
      </c>
      <c r="AD30" s="128">
        <f>'Customer Control'!AC21</f>
        <v>716</v>
      </c>
      <c r="AE30" s="128">
        <f>'Customer Control'!AD21</f>
        <v>727.4851852</v>
      </c>
      <c r="AF30" s="128">
        <f>'Customer Control'!AE21</f>
        <v>740.1531648</v>
      </c>
      <c r="AG30" s="128">
        <f>'Customer Control'!AF21</f>
        <v>753.7956986</v>
      </c>
      <c r="AH30" s="128">
        <f>'Customer Control'!AG21</f>
        <v>766.1399745</v>
      </c>
      <c r="AI30" s="128">
        <f>'Customer Control'!AH21</f>
        <v>780.1417893</v>
      </c>
      <c r="AJ30" s="128">
        <f>'Customer Control'!AI21</f>
        <v>794.6457452</v>
      </c>
      <c r="AK30" s="128">
        <f>'Customer Control'!AJ21</f>
        <v>807.0514219</v>
      </c>
      <c r="AL30" s="128">
        <f>'Customer Control'!AK21</f>
        <v>820.2886949</v>
      </c>
      <c r="AM30" s="128">
        <f>'Customer Control'!AL21</f>
        <v>835.6764621</v>
      </c>
      <c r="AN30" s="128">
        <f>'Customer Control'!AM21</f>
        <v>848.7311869</v>
      </c>
      <c r="AO30" s="128">
        <f>'Customer Control'!AN21</f>
        <v>859.9483833</v>
      </c>
      <c r="AP30" s="128">
        <f>'Customer Control'!AO21</f>
        <v>872.4087008</v>
      </c>
      <c r="AQ30" s="128">
        <f>'Customer Control'!AP21</f>
        <v>885.9134949</v>
      </c>
      <c r="AR30" s="128">
        <f>'Customer Control'!AQ21</f>
        <v>899.394864</v>
      </c>
      <c r="AS30" s="128">
        <f>'Customer Control'!AR21</f>
        <v>912.9199911</v>
      </c>
      <c r="AT30" s="128">
        <f>'Customer Control'!AS21</f>
        <v>926.4865479</v>
      </c>
      <c r="AU30" s="128">
        <f>'Customer Control'!AT21</f>
        <v>940.0255576</v>
      </c>
      <c r="AV30" s="128">
        <f>'Customer Control'!AU21</f>
        <v>953.6231175</v>
      </c>
      <c r="AW30" s="128">
        <f>'Customer Control'!AV21</f>
        <v>967.2165544</v>
      </c>
      <c r="AX30" s="128">
        <f>'Customer Control'!AW21</f>
        <v>980.7621485</v>
      </c>
      <c r="AY30" s="128">
        <f>'Customer Control'!AX21</f>
        <v>994.2885797</v>
      </c>
      <c r="AZ30" s="128">
        <f>'Customer Control'!AY21</f>
        <v>1007.82368</v>
      </c>
      <c r="BA30" s="128">
        <f>'Customer Control'!AZ21</f>
        <v>1021.347051</v>
      </c>
      <c r="BB30" s="128">
        <f>'Customer Control'!BA21</f>
        <v>1034.888976</v>
      </c>
      <c r="BC30" s="128">
        <f>'Customer Control'!BB21</f>
        <v>1048.453314</v>
      </c>
      <c r="BD30" s="128">
        <f>'Customer Control'!BC21</f>
        <v>1062.021745</v>
      </c>
      <c r="BE30" s="128">
        <f>'Customer Control'!BD21</f>
        <v>1075.582152</v>
      </c>
      <c r="BF30" s="128">
        <f>'Customer Control'!BE21</f>
        <v>1089.141776</v>
      </c>
      <c r="BG30" s="128">
        <f>'Customer Control'!BF21</f>
        <v>1102.686563</v>
      </c>
      <c r="BH30" s="128">
        <f>'Customer Control'!BG21</f>
        <v>1116.221047</v>
      </c>
      <c r="BI30" s="128">
        <f>'Customer Control'!BH21</f>
        <v>1129.75928</v>
      </c>
      <c r="BJ30" s="128">
        <f>'Customer Control'!BI21</f>
        <v>1143.305913</v>
      </c>
      <c r="BK30" s="128">
        <f>'Customer Control'!BJ21</f>
        <v>1156.857608</v>
      </c>
      <c r="BL30" s="128">
        <f>'Customer Control'!BK21</f>
        <v>1170.416553</v>
      </c>
      <c r="BM30" s="128">
        <f>'Customer Control'!BL21</f>
        <v>1183.97607</v>
      </c>
      <c r="BN30" s="128">
        <f>'Customer Control'!BM21</f>
        <v>1197.529617</v>
      </c>
      <c r="BO30" s="128">
        <f>'Customer Control'!BN21</f>
        <v>1211.077124</v>
      </c>
      <c r="BP30" s="128">
        <f>'Customer Control'!BO21</f>
        <v>1224.621876</v>
      </c>
      <c r="BQ30" s="128">
        <f>'Customer Control'!BP21</f>
        <v>1238.165042</v>
      </c>
      <c r="BR30" s="128">
        <f>'Customer Control'!BQ21</f>
        <v>1251.71104</v>
      </c>
      <c r="BS30" s="128">
        <f>'Customer Control'!BR21</f>
        <v>1265.262045</v>
      </c>
      <c r="BT30" s="128">
        <f>'Customer Control'!BS21</f>
        <v>1278.816112</v>
      </c>
      <c r="BU30" s="20"/>
    </row>
    <row r="31">
      <c r="A31" s="20"/>
      <c r="B31" s="109"/>
      <c r="C31" s="109"/>
      <c r="D31" s="109"/>
      <c r="E31" s="109"/>
      <c r="F31" s="178"/>
      <c r="G31" s="109"/>
      <c r="H31" s="109"/>
      <c r="I31" s="109"/>
      <c r="J31" s="109"/>
      <c r="K31" s="109"/>
      <c r="L31" s="20"/>
      <c r="M31" s="109"/>
      <c r="N31" s="109"/>
      <c r="O31" s="109"/>
      <c r="P31" s="109"/>
      <c r="Q31" s="109"/>
      <c r="R31" s="109"/>
      <c r="S31" s="109"/>
      <c r="T31" s="109"/>
      <c r="U31" s="109"/>
      <c r="V31" s="109"/>
      <c r="W31" s="109"/>
      <c r="X31" s="109"/>
      <c r="Y31" s="109"/>
      <c r="Z31" s="109"/>
      <c r="AA31" s="109"/>
      <c r="AB31" s="109"/>
      <c r="AC31" s="109"/>
      <c r="AD31" s="109"/>
      <c r="AE31" s="109"/>
      <c r="AF31" s="109"/>
      <c r="AG31" s="109"/>
      <c r="AH31" s="109"/>
      <c r="AI31" s="109"/>
      <c r="AJ31" s="109"/>
      <c r="AK31" s="109"/>
      <c r="AL31" s="109"/>
      <c r="AM31" s="109"/>
      <c r="AN31" s="109"/>
      <c r="AO31" s="109"/>
      <c r="AP31" s="109"/>
      <c r="AQ31" s="109"/>
      <c r="AR31" s="109"/>
      <c r="AS31" s="109"/>
      <c r="AT31" s="109"/>
      <c r="AU31" s="109"/>
      <c r="AV31" s="109"/>
      <c r="AW31" s="109"/>
      <c r="AX31" s="109"/>
      <c r="AY31" s="109"/>
      <c r="AZ31" s="109"/>
      <c r="BA31" s="109"/>
      <c r="BB31" s="109"/>
      <c r="BC31" s="109"/>
      <c r="BD31" s="109"/>
      <c r="BE31" s="109"/>
      <c r="BF31" s="109"/>
      <c r="BG31" s="109"/>
      <c r="BH31" s="109"/>
      <c r="BI31" s="109"/>
      <c r="BJ31" s="109"/>
      <c r="BK31" s="109"/>
      <c r="BL31" s="109"/>
      <c r="BM31" s="109"/>
      <c r="BN31" s="109"/>
      <c r="BO31" s="109"/>
      <c r="BP31" s="109"/>
      <c r="BQ31" s="109"/>
      <c r="BR31" s="109"/>
      <c r="BS31" s="109"/>
      <c r="BT31" s="109"/>
      <c r="BU31" s="20"/>
    </row>
    <row r="32">
      <c r="A32" s="20"/>
      <c r="B32" s="102" t="s">
        <v>58</v>
      </c>
      <c r="C32" s="103"/>
      <c r="D32" s="103"/>
      <c r="E32" s="103"/>
      <c r="F32" s="219"/>
      <c r="G32" s="103"/>
      <c r="H32" s="103"/>
      <c r="I32" s="103"/>
      <c r="J32" s="103"/>
      <c r="K32" s="103"/>
      <c r="L32" s="103"/>
      <c r="M32" s="103"/>
      <c r="N32" s="103"/>
      <c r="O32" s="103"/>
      <c r="P32" s="103"/>
      <c r="Q32" s="103"/>
      <c r="R32" s="103"/>
      <c r="S32" s="103"/>
      <c r="T32" s="103"/>
      <c r="U32" s="103"/>
      <c r="V32" s="103"/>
      <c r="W32" s="103"/>
      <c r="X32" s="103"/>
      <c r="Y32" s="103"/>
      <c r="Z32" s="103"/>
      <c r="AA32" s="103"/>
      <c r="AB32" s="103"/>
      <c r="AC32" s="103"/>
      <c r="AD32" s="103"/>
      <c r="AE32" s="103"/>
      <c r="AF32" s="103"/>
      <c r="AG32" s="103"/>
      <c r="AH32" s="103"/>
      <c r="AI32" s="103"/>
      <c r="AJ32" s="103"/>
      <c r="AK32" s="103"/>
      <c r="AL32" s="103"/>
      <c r="AM32" s="103"/>
      <c r="AN32" s="103"/>
      <c r="AO32" s="103"/>
      <c r="AP32" s="103"/>
      <c r="AQ32" s="103"/>
      <c r="AR32" s="103"/>
      <c r="AS32" s="103"/>
      <c r="AT32" s="103"/>
      <c r="AU32" s="103"/>
      <c r="AV32" s="103"/>
      <c r="AW32" s="103"/>
      <c r="AX32" s="103"/>
      <c r="AY32" s="103"/>
      <c r="AZ32" s="103"/>
      <c r="BA32" s="103"/>
      <c r="BB32" s="103"/>
      <c r="BC32" s="103"/>
      <c r="BD32" s="103"/>
      <c r="BE32" s="103"/>
      <c r="BF32" s="103"/>
      <c r="BG32" s="103"/>
      <c r="BH32" s="103"/>
      <c r="BI32" s="103"/>
      <c r="BJ32" s="103"/>
      <c r="BK32" s="103"/>
      <c r="BL32" s="103"/>
      <c r="BM32" s="103"/>
      <c r="BN32" s="103"/>
      <c r="BO32" s="103"/>
      <c r="BP32" s="103"/>
      <c r="BQ32" s="103"/>
      <c r="BR32" s="103"/>
      <c r="BS32" s="103"/>
      <c r="BT32" s="103"/>
      <c r="BU32" s="20"/>
    </row>
    <row r="33">
      <c r="A33" s="20"/>
      <c r="B33" s="110" t="s">
        <v>93</v>
      </c>
      <c r="C33" s="136"/>
      <c r="D33" s="136"/>
      <c r="E33" s="136"/>
      <c r="F33" s="106" t="s">
        <v>48</v>
      </c>
      <c r="G33" s="107">
        <f t="shared" ref="G33:K33" si="24">iferror(AVERAGEIFS($M33:$BT33,$M$15:$BT$15,G$15),0)</f>
        <v>25431.51258</v>
      </c>
      <c r="H33" s="107">
        <f t="shared" si="24"/>
        <v>27295.65677</v>
      </c>
      <c r="I33" s="107">
        <f t="shared" si="24"/>
        <v>27371.41472</v>
      </c>
      <c r="J33" s="107">
        <f t="shared" si="24"/>
        <v>27371.47055</v>
      </c>
      <c r="K33" s="107">
        <f t="shared" si="24"/>
        <v>27371.47075</v>
      </c>
      <c r="L33" s="20"/>
      <c r="M33" s="112">
        <f>IF(M13=1,Actuals!N35,AVERAGE(H33:L33))</f>
        <v>24064.4403</v>
      </c>
      <c r="N33" s="112">
        <f>IF(N13=1,Actuals!O35,AVERAGE(I33:M33))</f>
        <v>24453.52532</v>
      </c>
      <c r="O33" s="112">
        <f>IF(O13=1,Actuals!P35,AVERAGE(J33:N33))</f>
        <v>24868.99404</v>
      </c>
      <c r="P33" s="112">
        <f>IF(P13=1,Actuals!Q35,AVERAGE(L33:O33))</f>
        <v>25037.93457</v>
      </c>
      <c r="Q33" s="112">
        <f>IF(Q13=1,Actuals!R35,AVERAGE(M33:P33))</f>
        <v>25052.7046</v>
      </c>
      <c r="R33" s="112">
        <f>IF(R13=1,Actuals!S35,AVERAGE(N33:Q33))</f>
        <v>25180.80328</v>
      </c>
      <c r="S33" s="112">
        <f>IF(S13=1,Actuals!T35,AVERAGE(O33:R33))</f>
        <v>25543.65416</v>
      </c>
      <c r="T33" s="112">
        <f>IF(T13=1,Actuals!U35,AVERAGE(P33:S33))</f>
        <v>25906.91861</v>
      </c>
      <c r="U33" s="112">
        <f>IF(U13=1,Actuals!V35,AVERAGE(Q33:T33))</f>
        <v>26012.97447</v>
      </c>
      <c r="V33" s="112">
        <f>IF(V13=1,Actuals!W35,AVERAGE(R33:U33))</f>
        <v>26330.84086</v>
      </c>
      <c r="W33" s="112">
        <f>IF(W13=1,Actuals!X35,AVERAGE(S33:V33))</f>
        <v>26337.91408</v>
      </c>
      <c r="X33" s="112">
        <f>IF(X13=1,Actuals!Y35,AVERAGE(T33:W33))</f>
        <v>26387.44667</v>
      </c>
      <c r="Y33" s="112">
        <f>IF(Y13=1,Actuals!Z35,AVERAGE(U33:X33))</f>
        <v>26765.36386</v>
      </c>
      <c r="Z33" s="112">
        <f>IF(Z13=1,Actuals!AA35,AVERAGE(V33:Y33))</f>
        <v>27094.88721</v>
      </c>
      <c r="AA33" s="112">
        <f>IF(AA13=1,Actuals!AB35,AVERAGE(W33:Z33))</f>
        <v>27297.36755</v>
      </c>
      <c r="AB33" s="112">
        <f>IF(AB13=1,Actuals!AC35,AVERAGE(X33:AA33))</f>
        <v>27429.89063</v>
      </c>
      <c r="AC33" s="112">
        <f>IF(AC13=1,Actuals!AD35,AVERAGE(Y33:AB33))</f>
        <v>27366.58804</v>
      </c>
      <c r="AD33" s="112">
        <f>IF(AD13=1,Actuals!AE35,AVERAGE(Z33:AC33))</f>
        <v>27364.44864</v>
      </c>
      <c r="AE33" s="112">
        <f>IF(AE13=1,Actuals!AF35,AVERAGE(AA33:AD33))</f>
        <v>27364.57372</v>
      </c>
      <c r="AF33" s="112">
        <f>IF(AF13=1,Actuals!AG35,AVERAGE(AB33:AE33))</f>
        <v>27381.37526</v>
      </c>
      <c r="AG33" s="112">
        <f>IF(AG13=1,Actuals!AH35,AVERAGE(AC33:AF33))</f>
        <v>27369.24641</v>
      </c>
      <c r="AH33" s="112">
        <f>IF(AH13=1,Actuals!AI35,AVERAGE(AD33:AG33))</f>
        <v>27369.91101</v>
      </c>
      <c r="AI33" s="112">
        <f>IF(AI13=1,Actuals!AJ35,AVERAGE(AE33:AH33))</f>
        <v>27371.2766</v>
      </c>
      <c r="AJ33" s="112">
        <f>IF(AJ13=1,Actuals!AK35,AVERAGE(AF33:AI33))</f>
        <v>27372.95232</v>
      </c>
      <c r="AK33" s="112">
        <f>IF(AK13=1,Actuals!AL35,AVERAGE(AG33:AJ33))</f>
        <v>27370.84658</v>
      </c>
      <c r="AL33" s="112">
        <f>IF(AL13=1,Actuals!AM35,AVERAGE(AH33:AK33))</f>
        <v>27371.24663</v>
      </c>
      <c r="AM33" s="112">
        <f>IF(AM13=1,Actuals!AN35,AVERAGE(AI33:AL33))</f>
        <v>27371.58053</v>
      </c>
      <c r="AN33" s="112">
        <f>IF(AN13=1,Actuals!AO35,AVERAGE(AJ33:AM33))</f>
        <v>27371.65651</v>
      </c>
      <c r="AO33" s="112">
        <f>IF(AO13=1,Actuals!AP35,AVERAGE(AK33:AN33))</f>
        <v>27371.33256</v>
      </c>
      <c r="AP33" s="112">
        <f>IF(AP13=1,Actuals!AQ35,AVERAGE(AL33:AO33))</f>
        <v>27371.45406</v>
      </c>
      <c r="AQ33" s="112">
        <f>IF(AQ13=1,Actuals!AR35,AVERAGE(AM33:AP33))</f>
        <v>27371.50592</v>
      </c>
      <c r="AR33" s="112">
        <f>IF(AR13=1,Actuals!AS35,AVERAGE(AN33:AQ33))</f>
        <v>27371.48726</v>
      </c>
      <c r="AS33" s="112">
        <f>IF(AS13=1,Actuals!AT35,AVERAGE(AO33:AR33))</f>
        <v>27371.44495</v>
      </c>
      <c r="AT33" s="112">
        <f>IF(AT13=1,Actuals!AU35,AVERAGE(AP33:AS33))</f>
        <v>27371.47305</v>
      </c>
      <c r="AU33" s="112">
        <f>IF(AU13=1,Actuals!AV35,AVERAGE(AQ33:AT33))</f>
        <v>27371.4778</v>
      </c>
      <c r="AV33" s="112">
        <f>IF(AV13=1,Actuals!AW35,AVERAGE(AR33:AU33))</f>
        <v>27371.47076</v>
      </c>
      <c r="AW33" s="112">
        <f>IF(AW13=1,Actuals!AX35,AVERAGE(AS33:AV33))</f>
        <v>27371.46664</v>
      </c>
      <c r="AX33" s="112">
        <f>IF(AX13=1,Actuals!AY35,AVERAGE(AT33:AW33))</f>
        <v>27371.47206</v>
      </c>
      <c r="AY33" s="112">
        <f>IF(AY13=1,Actuals!AZ35,AVERAGE(AU33:AX33))</f>
        <v>27371.47182</v>
      </c>
      <c r="AZ33" s="112">
        <f>IF(AZ13=1,Actuals!BA35,AVERAGE(AV33:AY33))</f>
        <v>27371.47032</v>
      </c>
      <c r="BA33" s="112">
        <f>IF(BA13=1,Actuals!BB35,AVERAGE(AW33:AZ33))</f>
        <v>27371.47021</v>
      </c>
      <c r="BB33" s="112">
        <f>IF(BB13=1,Actuals!BC35,AVERAGE(AX33:BA33))</f>
        <v>27371.4711</v>
      </c>
      <c r="BC33" s="112">
        <f>IF(BC13=1,Actuals!BD35,AVERAGE(AY33:BB33))</f>
        <v>27371.47086</v>
      </c>
      <c r="BD33" s="112">
        <f>IF(BD13=1,Actuals!BE35,AVERAGE(AZ33:BC33))</f>
        <v>27371.47062</v>
      </c>
      <c r="BE33" s="112">
        <f>IF(BE13=1,Actuals!BF35,AVERAGE(BA33:BD33))</f>
        <v>27371.4707</v>
      </c>
      <c r="BF33" s="112">
        <f>IF(BF13=1,Actuals!BG35,AVERAGE(BB33:BE33))</f>
        <v>27371.47082</v>
      </c>
      <c r="BG33" s="112">
        <f>IF(BG13=1,Actuals!BH35,AVERAGE(BC33:BF33))</f>
        <v>27371.47075</v>
      </c>
      <c r="BH33" s="112">
        <f>IF(BH13=1,Actuals!BI35,AVERAGE(BD33:BG33))</f>
        <v>27371.47072</v>
      </c>
      <c r="BI33" s="112">
        <f>IF(BI13=1,Actuals!BJ35,AVERAGE(BE33:BH33))</f>
        <v>27371.47075</v>
      </c>
      <c r="BJ33" s="112">
        <f>IF(BJ13=1,Actuals!BW35,AVERAGE(BF33:BI33))</f>
        <v>27371.47076</v>
      </c>
      <c r="BK33" s="112">
        <f>IF(BK13=1,Actuals!BX35,AVERAGE(BG33:BJ33))</f>
        <v>27371.47075</v>
      </c>
      <c r="BL33" s="112">
        <f>IF(BL13=1,Actuals!BY35,AVERAGE(BH33:BK33))</f>
        <v>27371.47075</v>
      </c>
      <c r="BM33" s="112">
        <f>IF(BM13=1,Actuals!BZ35,AVERAGE(BI33:BL33))</f>
        <v>27371.47075</v>
      </c>
      <c r="BN33" s="112">
        <f>IF(BN13=1,Actuals!CA35,AVERAGE(BJ33:BM33))</f>
        <v>27371.47075</v>
      </c>
      <c r="BO33" s="112">
        <f>IF(BO13=1,Actuals!CB35,AVERAGE(BK33:BN33))</f>
        <v>27371.47075</v>
      </c>
      <c r="BP33" s="112">
        <f>IF(BP13=1,Actuals!CC35,AVERAGE(BL33:BO33))</f>
        <v>27371.47075</v>
      </c>
      <c r="BQ33" s="112">
        <f>IF(BQ13=1,Actuals!CD35,AVERAGE(BM33:BP33))</f>
        <v>27371.47075</v>
      </c>
      <c r="BR33" s="112">
        <f>IF(BR13=1,Actuals!CE35,AVERAGE(BN33:BQ33))</f>
        <v>27371.47075</v>
      </c>
      <c r="BS33" s="112">
        <f>IF(BS13=1,Actuals!CF35,AVERAGE(BO33:BR33))</f>
        <v>27371.47075</v>
      </c>
      <c r="BT33" s="112">
        <f>IF(BT13=1,Actuals!CG35,AVERAGE(BP33:BS33))</f>
        <v>27371.47075</v>
      </c>
      <c r="BU33" s="20"/>
    </row>
    <row r="34">
      <c r="A34" s="20"/>
      <c r="B34" s="109"/>
      <c r="C34" s="109"/>
      <c r="D34" s="109"/>
      <c r="E34" s="109"/>
      <c r="F34" s="178"/>
      <c r="G34" s="109"/>
      <c r="H34" s="109"/>
      <c r="I34" s="109"/>
      <c r="J34" s="109"/>
      <c r="K34" s="109"/>
      <c r="L34" s="20"/>
      <c r="M34" s="109"/>
      <c r="N34" s="109"/>
      <c r="O34" s="109"/>
      <c r="P34" s="109"/>
      <c r="Q34" s="109"/>
      <c r="R34" s="109"/>
      <c r="S34" s="109"/>
      <c r="T34" s="109"/>
      <c r="U34" s="109"/>
      <c r="V34" s="109"/>
      <c r="W34" s="109"/>
      <c r="X34" s="109"/>
      <c r="Y34" s="109"/>
      <c r="Z34" s="109"/>
      <c r="AA34" s="109"/>
      <c r="AB34" s="109"/>
      <c r="AC34" s="109"/>
      <c r="AD34" s="109"/>
      <c r="AE34" s="109"/>
      <c r="AF34" s="109"/>
      <c r="AG34" s="109"/>
      <c r="AH34" s="109"/>
      <c r="AI34" s="109"/>
      <c r="AJ34" s="109"/>
      <c r="AK34" s="109"/>
      <c r="AL34" s="109"/>
      <c r="AM34" s="109"/>
      <c r="AN34" s="109"/>
      <c r="AO34" s="109"/>
      <c r="AP34" s="109"/>
      <c r="AQ34" s="109"/>
      <c r="AR34" s="109"/>
      <c r="AS34" s="109"/>
      <c r="AT34" s="109"/>
      <c r="AU34" s="109"/>
      <c r="AV34" s="109"/>
      <c r="AW34" s="109"/>
      <c r="AX34" s="109"/>
      <c r="AY34" s="109"/>
      <c r="AZ34" s="109"/>
      <c r="BA34" s="109"/>
      <c r="BB34" s="109"/>
      <c r="BC34" s="109"/>
      <c r="BD34" s="109"/>
      <c r="BE34" s="109"/>
      <c r="BF34" s="109"/>
      <c r="BG34" s="109"/>
      <c r="BH34" s="109"/>
      <c r="BI34" s="109"/>
      <c r="BJ34" s="109"/>
      <c r="BK34" s="109"/>
      <c r="BL34" s="109"/>
      <c r="BM34" s="109"/>
      <c r="BN34" s="109"/>
      <c r="BO34" s="109"/>
      <c r="BP34" s="109"/>
      <c r="BQ34" s="109"/>
      <c r="BR34" s="109"/>
      <c r="BS34" s="109"/>
      <c r="BT34" s="109"/>
      <c r="BU34" s="20"/>
    </row>
    <row r="35">
      <c r="A35" s="20"/>
      <c r="B35" s="102" t="s">
        <v>94</v>
      </c>
      <c r="C35" s="103"/>
      <c r="D35" s="103"/>
      <c r="E35" s="103"/>
      <c r="F35" s="219"/>
      <c r="G35" s="103"/>
      <c r="H35" s="103"/>
      <c r="I35" s="103"/>
      <c r="J35" s="103"/>
      <c r="K35" s="103"/>
      <c r="L35" s="103"/>
      <c r="M35" s="103"/>
      <c r="N35" s="103"/>
      <c r="O35" s="103"/>
      <c r="P35" s="103"/>
      <c r="Q35" s="103"/>
      <c r="R35" s="103"/>
      <c r="S35" s="103"/>
      <c r="T35" s="103"/>
      <c r="U35" s="103"/>
      <c r="V35" s="103"/>
      <c r="W35" s="103"/>
      <c r="X35" s="103"/>
      <c r="Y35" s="103"/>
      <c r="Z35" s="103"/>
      <c r="AA35" s="103"/>
      <c r="AB35" s="103"/>
      <c r="AC35" s="103"/>
      <c r="AD35" s="103"/>
      <c r="AE35" s="103"/>
      <c r="AF35" s="103"/>
      <c r="AG35" s="103"/>
      <c r="AH35" s="103"/>
      <c r="AI35" s="103"/>
      <c r="AJ35" s="103"/>
      <c r="AK35" s="103"/>
      <c r="AL35" s="103"/>
      <c r="AM35" s="103"/>
      <c r="AN35" s="103"/>
      <c r="AO35" s="103"/>
      <c r="AP35" s="103"/>
      <c r="AQ35" s="103"/>
      <c r="AR35" s="103"/>
      <c r="AS35" s="103"/>
      <c r="AT35" s="103"/>
      <c r="AU35" s="103"/>
      <c r="AV35" s="103"/>
      <c r="AW35" s="103"/>
      <c r="AX35" s="103"/>
      <c r="AY35" s="103"/>
      <c r="AZ35" s="103"/>
      <c r="BA35" s="103"/>
      <c r="BB35" s="103"/>
      <c r="BC35" s="103"/>
      <c r="BD35" s="103"/>
      <c r="BE35" s="103"/>
      <c r="BF35" s="103"/>
      <c r="BG35" s="103"/>
      <c r="BH35" s="103"/>
      <c r="BI35" s="103"/>
      <c r="BJ35" s="103"/>
      <c r="BK35" s="103"/>
      <c r="BL35" s="103"/>
      <c r="BM35" s="103"/>
      <c r="BN35" s="103"/>
      <c r="BO35" s="103"/>
      <c r="BP35" s="103"/>
      <c r="BQ35" s="103"/>
      <c r="BR35" s="103"/>
      <c r="BS35" s="103"/>
      <c r="BT35" s="103"/>
      <c r="BU35" s="20"/>
    </row>
    <row r="36">
      <c r="A36" s="20"/>
      <c r="B36" s="113" t="s">
        <v>81</v>
      </c>
      <c r="C36" s="163"/>
      <c r="D36" s="163"/>
      <c r="E36" s="163"/>
      <c r="F36" s="115" t="s">
        <v>33</v>
      </c>
      <c r="G36" s="112">
        <f t="shared" ref="G36:K36" si="25">SUMIFS($M36:$BT36,$M$15:$BT$15,G$15)</f>
        <v>395</v>
      </c>
      <c r="H36" s="112">
        <f t="shared" si="25"/>
        <v>324</v>
      </c>
      <c r="I36" s="112">
        <f t="shared" si="25"/>
        <v>240</v>
      </c>
      <c r="J36" s="112">
        <f t="shared" si="25"/>
        <v>228</v>
      </c>
      <c r="K36" s="112">
        <f t="shared" si="25"/>
        <v>228</v>
      </c>
      <c r="L36" s="20"/>
      <c r="M36" s="112">
        <f>'Customer Control'!L37</f>
        <v>32</v>
      </c>
      <c r="N36" s="112">
        <f>'Customer Control'!M37</f>
        <v>41</v>
      </c>
      <c r="O36" s="112">
        <f>'Customer Control'!N37</f>
        <v>42</v>
      </c>
      <c r="P36" s="112">
        <f>'Customer Control'!O37</f>
        <v>27</v>
      </c>
      <c r="Q36" s="112">
        <f>'Customer Control'!P37</f>
        <v>35</v>
      </c>
      <c r="R36" s="112">
        <f>'Customer Control'!Q37</f>
        <v>34</v>
      </c>
      <c r="S36" s="112">
        <f>'Customer Control'!R37</f>
        <v>39</v>
      </c>
      <c r="T36" s="112">
        <f>'Customer Control'!S37</f>
        <v>33</v>
      </c>
      <c r="U36" s="112">
        <f>'Customer Control'!T37</f>
        <v>30</v>
      </c>
      <c r="V36" s="112">
        <f>'Customer Control'!U37</f>
        <v>30</v>
      </c>
      <c r="W36" s="112">
        <f>'Customer Control'!V37</f>
        <v>27</v>
      </c>
      <c r="X36" s="112">
        <f>'Customer Control'!W37</f>
        <v>25</v>
      </c>
      <c r="Y36" s="112">
        <f>'Customer Control'!X37</f>
        <v>36</v>
      </c>
      <c r="Z36" s="112">
        <f>'Customer Control'!Y37</f>
        <v>29</v>
      </c>
      <c r="AA36" s="112">
        <f>'Customer Control'!Z37</f>
        <v>27</v>
      </c>
      <c r="AB36" s="112">
        <f>'Customer Control'!AA37</f>
        <v>30</v>
      </c>
      <c r="AC36" s="112">
        <f>'Customer Control'!AB37</f>
        <v>38</v>
      </c>
      <c r="AD36" s="112">
        <f>'Customer Control'!AC37</f>
        <v>41</v>
      </c>
      <c r="AE36" s="112">
        <f>'Customer Control'!AD37</f>
        <v>25</v>
      </c>
      <c r="AF36" s="112">
        <f>'Customer Control'!AE37</f>
        <v>23</v>
      </c>
      <c r="AG36" s="112">
        <f>'Customer Control'!AF37</f>
        <v>19</v>
      </c>
      <c r="AH36" s="112">
        <f>'Customer Control'!AG37</f>
        <v>23</v>
      </c>
      <c r="AI36" s="112">
        <f>'Customer Control'!AH37</f>
        <v>17</v>
      </c>
      <c r="AJ36" s="112">
        <f>'Customer Control'!AI37</f>
        <v>16</v>
      </c>
      <c r="AK36" s="112">
        <f>'Customer Control'!AJ37</f>
        <v>22</v>
      </c>
      <c r="AL36" s="112">
        <f>'Customer Control'!AK37</f>
        <v>20</v>
      </c>
      <c r="AM36" s="112">
        <f>'Customer Control'!AL37</f>
        <v>13</v>
      </c>
      <c r="AN36" s="112">
        <f>'Customer Control'!AM37</f>
        <v>21</v>
      </c>
      <c r="AO36" s="112">
        <f>'Customer Control'!AN37</f>
        <v>27</v>
      </c>
      <c r="AP36" s="112">
        <f>'Customer Control'!AO37</f>
        <v>23</v>
      </c>
      <c r="AQ36" s="112">
        <f>'Customer Control'!AP37</f>
        <v>19</v>
      </c>
      <c r="AR36" s="112">
        <f>'Customer Control'!AQ37</f>
        <v>19</v>
      </c>
      <c r="AS36" s="112">
        <f>'Customer Control'!AR37</f>
        <v>19</v>
      </c>
      <c r="AT36" s="112">
        <f>'Customer Control'!AS37</f>
        <v>19</v>
      </c>
      <c r="AU36" s="112">
        <f>'Customer Control'!AT37</f>
        <v>19</v>
      </c>
      <c r="AV36" s="112">
        <f>'Customer Control'!AU37</f>
        <v>19</v>
      </c>
      <c r="AW36" s="112">
        <f>'Customer Control'!AV37</f>
        <v>19</v>
      </c>
      <c r="AX36" s="112">
        <f>'Customer Control'!AW37</f>
        <v>19</v>
      </c>
      <c r="AY36" s="112">
        <f>'Customer Control'!AX37</f>
        <v>19</v>
      </c>
      <c r="AZ36" s="112">
        <f>'Customer Control'!AY37</f>
        <v>19</v>
      </c>
      <c r="BA36" s="112">
        <f>'Customer Control'!AZ37</f>
        <v>19</v>
      </c>
      <c r="BB36" s="112">
        <f>'Customer Control'!BA37</f>
        <v>19</v>
      </c>
      <c r="BC36" s="112">
        <f>'Customer Control'!BB37</f>
        <v>19</v>
      </c>
      <c r="BD36" s="112">
        <f>'Customer Control'!BC37</f>
        <v>19</v>
      </c>
      <c r="BE36" s="112">
        <f>'Customer Control'!BD37</f>
        <v>19</v>
      </c>
      <c r="BF36" s="112">
        <f>'Customer Control'!BE37</f>
        <v>19</v>
      </c>
      <c r="BG36" s="112">
        <f>'Customer Control'!BF37</f>
        <v>19</v>
      </c>
      <c r="BH36" s="112">
        <f>'Customer Control'!BG37</f>
        <v>19</v>
      </c>
      <c r="BI36" s="112">
        <f>'Customer Control'!BH37</f>
        <v>19</v>
      </c>
      <c r="BJ36" s="112">
        <f>'Customer Control'!BI37</f>
        <v>19</v>
      </c>
      <c r="BK36" s="112">
        <f>'Customer Control'!BJ37</f>
        <v>19</v>
      </c>
      <c r="BL36" s="112">
        <f>'Customer Control'!BK37</f>
        <v>19</v>
      </c>
      <c r="BM36" s="112">
        <f>'Customer Control'!BL37</f>
        <v>19</v>
      </c>
      <c r="BN36" s="112">
        <f>'Customer Control'!BM37</f>
        <v>19</v>
      </c>
      <c r="BO36" s="112">
        <f>'Customer Control'!BN37</f>
        <v>19</v>
      </c>
      <c r="BP36" s="112">
        <f>'Customer Control'!BO37</f>
        <v>19</v>
      </c>
      <c r="BQ36" s="112">
        <f>'Customer Control'!BP37</f>
        <v>19</v>
      </c>
      <c r="BR36" s="112">
        <f>'Customer Control'!BQ37</f>
        <v>19</v>
      </c>
      <c r="BS36" s="112">
        <f>'Customer Control'!BR37</f>
        <v>19</v>
      </c>
      <c r="BT36" s="112">
        <f>'Customer Control'!BS37</f>
        <v>19</v>
      </c>
      <c r="BU36" s="20"/>
    </row>
    <row r="37">
      <c r="A37" s="20"/>
      <c r="B37" s="110" t="s">
        <v>82</v>
      </c>
      <c r="C37" s="136"/>
      <c r="D37" s="136"/>
      <c r="E37" s="136"/>
      <c r="F37" s="106" t="s">
        <v>48</v>
      </c>
      <c r="G37" s="112">
        <f t="shared" ref="G37:K37" si="26">SUMIFS($M37:$BT37,$M$15:$BT$15,G$15)</f>
        <v>9915102.5</v>
      </c>
      <c r="H37" s="112">
        <f t="shared" si="26"/>
        <v>7590986.5</v>
      </c>
      <c r="I37" s="112">
        <f t="shared" si="26"/>
        <v>5764112.371</v>
      </c>
      <c r="J37" s="112">
        <f t="shared" si="26"/>
        <v>6240682.556</v>
      </c>
      <c r="K37" s="112">
        <f t="shared" si="26"/>
        <v>6240695.286</v>
      </c>
      <c r="L37" s="20"/>
      <c r="M37" s="112">
        <f>if(M$13=1,Actuals!N72,A19)</f>
        <v>760857.5</v>
      </c>
      <c r="N37" s="112">
        <f>if(N$13=1,Actuals!O72,B19)</f>
        <v>738900</v>
      </c>
      <c r="O37" s="112">
        <f>if(O$13=1,Actuals!P72,C19)</f>
        <v>993687.5</v>
      </c>
      <c r="P37" s="112">
        <f>if(P$13=1,Actuals!Q72,D19)</f>
        <v>852650</v>
      </c>
      <c r="Q37" s="112">
        <f>if(Q$13=1,Actuals!R72,E19)</f>
        <v>635907.5</v>
      </c>
      <c r="R37" s="112">
        <f>if(R$13=1,Actuals!S72,F19)</f>
        <v>994452.5</v>
      </c>
      <c r="S37" s="112">
        <f>if(S$13=1,Actuals!T72,G19)</f>
        <v>1073757.5</v>
      </c>
      <c r="T37" s="112">
        <f>if(T$13=1,Actuals!U72,H19)</f>
        <v>950895</v>
      </c>
      <c r="U37" s="112">
        <f>if(U$13=1,Actuals!V72,I19)</f>
        <v>650855</v>
      </c>
      <c r="V37" s="112">
        <f>if(V$13=1,Actuals!W72,J19)</f>
        <v>1062657.5</v>
      </c>
      <c r="W37" s="112">
        <f>if(W$13=1,Actuals!X72,K19)</f>
        <v>643410</v>
      </c>
      <c r="X37" s="112">
        <f>if(X$13=1,Actuals!Y72,L19)</f>
        <v>557072.5</v>
      </c>
      <c r="Y37" s="112">
        <f>if(Y$13=1,Actuals!Z72,M19)</f>
        <v>806892.5</v>
      </c>
      <c r="Z37" s="112">
        <f>if(Z$13=1,Actuals!AA72,N19)</f>
        <v>954195</v>
      </c>
      <c r="AA37" s="112">
        <f>if(AA$13=1,Actuals!AB72,O19)</f>
        <v>582610</v>
      </c>
      <c r="AB37" s="112">
        <f>if(AB$13=1,Actuals!AC72,P19)</f>
        <v>860475</v>
      </c>
      <c r="AC37" s="112">
        <f>if(AC$13=1,Actuals!AD72,Q19)</f>
        <v>938925</v>
      </c>
      <c r="AD37" s="112">
        <f>if(AD$13=1,Actuals!AE72,R19)</f>
        <v>813945</v>
      </c>
      <c r="AE37" s="112">
        <f>if(AE$13=1,Actuals!AF72,S19)</f>
        <v>572670</v>
      </c>
      <c r="AF37" s="112">
        <f>if(AF$13=1,Actuals!AG72,T19)</f>
        <v>507144</v>
      </c>
      <c r="AG37" s="112">
        <f>if(AG$13=1,Actuals!AH72,U19)</f>
        <v>347123</v>
      </c>
      <c r="AH37" s="112">
        <f>if(AH$13=1,Actuals!AI72,V19)</f>
        <v>566750</v>
      </c>
      <c r="AI37" s="112">
        <f>if(AI$13=1,Actuals!AJ72,W19)</f>
        <v>343152</v>
      </c>
      <c r="AJ37" s="112">
        <f>if(AJ$13=1,Actuals!AK72,X19)</f>
        <v>297105</v>
      </c>
      <c r="AK37" s="112">
        <f>if(AK$13=1,Actuals!AL72,Y19)</f>
        <v>430342</v>
      </c>
      <c r="AL37" s="112">
        <f>if(AL$13=1,Actuals!AM72,Z19)</f>
        <v>508904</v>
      </c>
      <c r="AM37" s="112">
        <f>if(AM$13=1,Actuals!AN72,AA19)</f>
        <v>310725</v>
      </c>
      <c r="AN37" s="112">
        <f>if(AN$13=1,Actuals!AO72,AB19)</f>
        <v>458920</v>
      </c>
      <c r="AO37" s="112">
        <f>if(AO$13=1,Actuals!AP72,AC19)</f>
        <v>500760</v>
      </c>
      <c r="AP37" s="112">
        <f>if(AP$13=1,Actuals!AQ72,AD19)</f>
        <v>434104</v>
      </c>
      <c r="AQ37" s="112">
        <f>if(AQ$13=1,Actuals!AR72,AE19)</f>
        <v>519926.9006</v>
      </c>
      <c r="AR37" s="112">
        <f>if(AR$13=1,Actuals!AS72,AF19)</f>
        <v>520246.1299</v>
      </c>
      <c r="AS37" s="112">
        <f>if(AS$13=1,Actuals!AT72,AG19)</f>
        <v>520015.6819</v>
      </c>
      <c r="AT37" s="112">
        <f>if(AT$13=1,Actuals!AU72,AH19)</f>
        <v>520028.3091</v>
      </c>
      <c r="AU37" s="112">
        <f>if(AU$13=1,Actuals!AV72,AI19)</f>
        <v>520054.2554</v>
      </c>
      <c r="AV37" s="112">
        <f>if(AV$13=1,Actuals!AW72,AJ19)</f>
        <v>520086.094</v>
      </c>
      <c r="AW37" s="112">
        <f>if(AW$13=1,Actuals!AX72,AK19)</f>
        <v>520046.0851</v>
      </c>
      <c r="AX37" s="112">
        <f>if(AX$13=1,Actuals!AY72,AL19)</f>
        <v>520053.6859</v>
      </c>
      <c r="AY37" s="112">
        <f>if(AY$13=1,Actuals!AZ72,AM19)</f>
        <v>520060.0301</v>
      </c>
      <c r="AZ37" s="112">
        <f>if(AZ$13=1,Actuals!BA72,AN19)</f>
        <v>520061.4738</v>
      </c>
      <c r="BA37" s="112">
        <f>if(BA$13=1,Actuals!BB72,AO19)</f>
        <v>520055.3187</v>
      </c>
      <c r="BB37" s="112">
        <f>if(BB$13=1,Actuals!BC72,AP19)</f>
        <v>520057.6271</v>
      </c>
      <c r="BC37" s="112">
        <f>if(BC$13=1,Actuals!BD72,AQ19)</f>
        <v>520058.6124</v>
      </c>
      <c r="BD37" s="112">
        <f>if(BD$13=1,Actuals!BE72,AR19)</f>
        <v>520058.258</v>
      </c>
      <c r="BE37" s="112">
        <f>if(BE$13=1,Actuals!BF72,AS19)</f>
        <v>520057.4541</v>
      </c>
      <c r="BF37" s="112">
        <f>if(BF$13=1,Actuals!BG72,AT19)</f>
        <v>520057.9879</v>
      </c>
      <c r="BG37" s="112">
        <f>if(BG$13=1,Actuals!BH72,AU19)</f>
        <v>520058.0781</v>
      </c>
      <c r="BH37" s="112">
        <f>if(BH$13=1,Actuals!BI72,AV19)</f>
        <v>520057.9445</v>
      </c>
      <c r="BI37" s="112">
        <f>if(BI$13=1,Actuals!BJ72,AW19)</f>
        <v>520057.8662</v>
      </c>
      <c r="BJ37" s="112">
        <f>if(BJ$13=1,Actuals!BK72,AX19)</f>
        <v>520057.9692</v>
      </c>
      <c r="BK37" s="112">
        <f>if(BK$13=1,Actuals!BL72,AY19)</f>
        <v>520057.9645</v>
      </c>
      <c r="BL37" s="112">
        <f>if(BL$13=1,Actuals!BM72,AZ19)</f>
        <v>520057.9361</v>
      </c>
      <c r="BM37" s="112">
        <f>if(BM$13=1,Actuals!BN72,BA19)</f>
        <v>520057.934</v>
      </c>
      <c r="BN37" s="112">
        <f>if(BN$13=1,Actuals!BO72,BB19)</f>
        <v>520057.9509</v>
      </c>
      <c r="BO37" s="112">
        <f>if(BO$13=1,Actuals!BP72,BC19)</f>
        <v>520057.9464</v>
      </c>
      <c r="BP37" s="112">
        <f>if(BP$13=1,Actuals!BQ72,BD19)</f>
        <v>520057.9418</v>
      </c>
      <c r="BQ37" s="112">
        <f>if(BQ$13=1,Actuals!BR72,BE19)</f>
        <v>520057.9433</v>
      </c>
      <c r="BR37" s="112">
        <f>if(BR$13=1,Actuals!BS72,BF19)</f>
        <v>520057.9456</v>
      </c>
      <c r="BS37" s="112">
        <f>if(BS$13=1,Actuals!BT72,BG19)</f>
        <v>520057.9443</v>
      </c>
      <c r="BT37" s="112">
        <f>if(BT$13=1,Actuals!BU72,BH19)</f>
        <v>520057.9438</v>
      </c>
      <c r="BU37" s="20"/>
    </row>
    <row r="38">
      <c r="A38" s="20"/>
      <c r="B38" s="110" t="s">
        <v>95</v>
      </c>
      <c r="C38" s="136"/>
      <c r="D38" s="136"/>
      <c r="E38" s="136"/>
      <c r="F38" s="106" t="s">
        <v>38</v>
      </c>
      <c r="G38" s="137">
        <f t="shared" ref="G38:K38" si="27">iferror(AVERAGEIFS($M38:$BT38,$M$15:$BT$15,G$15),0)</f>
        <v>0.2561225093</v>
      </c>
      <c r="H38" s="137">
        <f t="shared" si="27"/>
        <v>0.2883841517</v>
      </c>
      <c r="I38" s="137">
        <f t="shared" si="27"/>
        <v>0.2872494787</v>
      </c>
      <c r="J38" s="137">
        <f t="shared" si="27"/>
        <v>0.2868511861</v>
      </c>
      <c r="K38" s="137">
        <f t="shared" si="27"/>
        <v>0.2868637498</v>
      </c>
      <c r="L38" s="20"/>
      <c r="M38" s="222">
        <f>'Customer Control'!L38</f>
        <v>0.21875</v>
      </c>
      <c r="N38" s="222">
        <f>'Customer Control'!M38</f>
        <v>0.2682926829</v>
      </c>
      <c r="O38" s="222">
        <f>'Customer Control'!N38</f>
        <v>0.2619047619</v>
      </c>
      <c r="P38" s="222">
        <f>'Customer Control'!O38</f>
        <v>0.2592592593</v>
      </c>
      <c r="Q38" s="222">
        <f>'Customer Control'!P38</f>
        <v>0.1428571429</v>
      </c>
      <c r="R38" s="222">
        <f>'Customer Control'!Q38</f>
        <v>0.2352941176</v>
      </c>
      <c r="S38" s="222">
        <f>'Customer Control'!R38</f>
        <v>0.1538461538</v>
      </c>
      <c r="T38" s="222">
        <f>'Customer Control'!S38</f>
        <v>0.3636363636</v>
      </c>
      <c r="U38" s="222">
        <f>'Customer Control'!T38</f>
        <v>0.3333333333</v>
      </c>
      <c r="V38" s="222">
        <f>'Customer Control'!U38</f>
        <v>0.3</v>
      </c>
      <c r="W38" s="222">
        <f>'Customer Control'!V38</f>
        <v>0.2962962963</v>
      </c>
      <c r="X38" s="222">
        <f>'Customer Control'!W38</f>
        <v>0.24</v>
      </c>
      <c r="Y38" s="222">
        <f>'Customer Control'!X38</f>
        <v>0.3333333333</v>
      </c>
      <c r="Z38" s="222">
        <f>'Customer Control'!Y38</f>
        <v>0.2068965517</v>
      </c>
      <c r="AA38" s="222">
        <f>'Customer Control'!Z38</f>
        <v>0.3333333333</v>
      </c>
      <c r="AB38" s="222">
        <f>'Customer Control'!AA38</f>
        <v>0.3333333333</v>
      </c>
      <c r="AC38" s="222">
        <f>'Customer Control'!AB38</f>
        <v>0.2631578947</v>
      </c>
      <c r="AD38" s="222">
        <f>'Customer Control'!AC38</f>
        <v>0.2682926829</v>
      </c>
      <c r="AE38" s="222">
        <f>'Customer Control'!AD38</f>
        <v>0.3005925926</v>
      </c>
      <c r="AF38" s="222">
        <f>'Customer Control'!AE38</f>
        <v>0.2753052363</v>
      </c>
      <c r="AG38" s="222">
        <f>'Customer Control'!AF38</f>
        <v>0.2819719029</v>
      </c>
      <c r="AH38" s="222">
        <f>'Customer Control'!AG38</f>
        <v>0.2893793103</v>
      </c>
      <c r="AI38" s="222">
        <f>'Customer Control'!AH38</f>
        <v>0.2940108893</v>
      </c>
      <c r="AJ38" s="222">
        <f>'Customer Control'!AI38</f>
        <v>0.2810027592</v>
      </c>
      <c r="AK38" s="222">
        <f>'Customer Control'!AJ38</f>
        <v>0.2997419674</v>
      </c>
      <c r="AL38" s="222">
        <f>'Customer Control'!AK38</f>
        <v>0.288136348</v>
      </c>
      <c r="AM38" s="222">
        <f>'Customer Control'!AL38</f>
        <v>0.2778640619</v>
      </c>
      <c r="AN38" s="222">
        <f>'Customer Control'!AM38</f>
        <v>0.283108345</v>
      </c>
      <c r="AO38" s="222">
        <f>'Customer Control'!AN38</f>
        <v>0.2882519863</v>
      </c>
      <c r="AP38" s="222">
        <f>'Customer Control'!AO38</f>
        <v>0.2843340196</v>
      </c>
      <c r="AQ38" s="222">
        <f>'Customer Control'!AP38</f>
        <v>0.2892213658</v>
      </c>
      <c r="AR38" s="222">
        <f>'Customer Control'!AQ38</f>
        <v>0.2904542548</v>
      </c>
      <c r="AS38" s="222">
        <f>'Customer Control'!AR38</f>
        <v>0.2881512052</v>
      </c>
      <c r="AT38" s="222">
        <f>'Customer Control'!AS38</f>
        <v>0.2859706963</v>
      </c>
      <c r="AU38" s="222">
        <f>'Customer Control'!AT38</f>
        <v>0.2874205417</v>
      </c>
      <c r="AV38" s="222">
        <f>'Customer Control'!AU38</f>
        <v>0.2843389522</v>
      </c>
      <c r="AW38" s="222">
        <f>'Customer Control'!AV38</f>
        <v>0.2845559557</v>
      </c>
      <c r="AX38" s="222">
        <f>'Customer Control'!AW38</f>
        <v>0.2870739943</v>
      </c>
      <c r="AY38" s="222">
        <f>'Customer Control'!AX38</f>
        <v>0.2880825663</v>
      </c>
      <c r="AZ38" s="222">
        <f>'Customer Control'!AY38</f>
        <v>0.2876263083</v>
      </c>
      <c r="BA38" s="222">
        <f>'Customer Control'!AZ38</f>
        <v>0.2882436128</v>
      </c>
      <c r="BB38" s="222">
        <f>'Customer Control'!BA38</f>
        <v>0.28726713</v>
      </c>
      <c r="BC38" s="222">
        <f>'Customer Control'!BB38</f>
        <v>0.2860874702</v>
      </c>
      <c r="BD38" s="222">
        <f>'Customer Control'!BC38</f>
        <v>0.285872028</v>
      </c>
      <c r="BE38" s="222">
        <f>'Customer Control'!BD38</f>
        <v>0.2862944021</v>
      </c>
      <c r="BF38" s="222">
        <f>'Customer Control'!BE38</f>
        <v>0.2863355554</v>
      </c>
      <c r="BG38" s="222">
        <f>'Customer Control'!BF38</f>
        <v>0.2871164875</v>
      </c>
      <c r="BH38" s="222">
        <f>'Customer Control'!BG38</f>
        <v>0.2876587224</v>
      </c>
      <c r="BI38" s="222">
        <f>'Customer Control'!BH38</f>
        <v>0.2874614175</v>
      </c>
      <c r="BJ38" s="222">
        <f>'Customer Control'!BI38</f>
        <v>0.2870193099</v>
      </c>
      <c r="BK38" s="222">
        <f>'Customer Control'!BJ38</f>
        <v>0.2867529286</v>
      </c>
      <c r="BL38" s="222">
        <f>'Customer Control'!BK38</f>
        <v>0.2863713171</v>
      </c>
      <c r="BM38" s="222">
        <f>'Customer Control'!BL38</f>
        <v>0.2863411886</v>
      </c>
      <c r="BN38" s="222">
        <f>'Customer Control'!BM38</f>
        <v>0.2866554391</v>
      </c>
      <c r="BO38" s="222">
        <f>'Customer Control'!BN38</f>
        <v>0.286973317</v>
      </c>
      <c r="BP38" s="222">
        <f>'Customer Control'!BO38</f>
        <v>0.2871182985</v>
      </c>
      <c r="BQ38" s="222">
        <f>'Customer Control'!BP38</f>
        <v>0.2872017732</v>
      </c>
      <c r="BR38" s="222">
        <f>'Customer Control'!BQ38</f>
        <v>0.2870527391</v>
      </c>
      <c r="BS38" s="222">
        <f>'Customer Control'!BR38</f>
        <v>0.2867892324</v>
      </c>
      <c r="BT38" s="222">
        <f>'Customer Control'!BS38</f>
        <v>0.2866280367</v>
      </c>
      <c r="BU38" s="20"/>
    </row>
    <row r="39">
      <c r="A39" s="20"/>
      <c r="B39" s="223" t="s">
        <v>96</v>
      </c>
      <c r="C39" s="224"/>
      <c r="D39" s="224"/>
      <c r="E39" s="224"/>
      <c r="F39" s="225" t="s">
        <v>38</v>
      </c>
      <c r="G39" s="137">
        <f t="shared" ref="G39:K39" si="28">iferror(AVERAGEIFS($M39:$BT39,$M$15:$BT$15,G$15),0)</f>
        <v>0.255130585</v>
      </c>
      <c r="H39" s="137">
        <f t="shared" si="28"/>
        <v>0.3234109249</v>
      </c>
      <c r="I39" s="137">
        <f t="shared" si="28"/>
        <v>0.3304550761</v>
      </c>
      <c r="J39" s="137">
        <f t="shared" si="28"/>
        <v>0.2868517669</v>
      </c>
      <c r="K39" s="137">
        <f t="shared" si="28"/>
        <v>0.2868637519</v>
      </c>
      <c r="L39" s="20"/>
      <c r="M39" s="222">
        <f t="shared" ref="M39:BT39" si="29">-M21/M37</f>
        <v>0.3558511285</v>
      </c>
      <c r="N39" s="222">
        <f t="shared" si="29"/>
        <v>0.1693111382</v>
      </c>
      <c r="O39" s="222">
        <f t="shared" si="29"/>
        <v>0.2509591798</v>
      </c>
      <c r="P39" s="222">
        <f t="shared" si="29"/>
        <v>0.3106925468</v>
      </c>
      <c r="Q39" s="222">
        <f t="shared" si="29"/>
        <v>0.243510259</v>
      </c>
      <c r="R39" s="222">
        <f t="shared" si="29"/>
        <v>0.1902353305</v>
      </c>
      <c r="S39" s="222">
        <f t="shared" si="29"/>
        <v>0.1216438535</v>
      </c>
      <c r="T39" s="222">
        <f t="shared" si="29"/>
        <v>0.2412853154</v>
      </c>
      <c r="U39" s="222">
        <f t="shared" si="29"/>
        <v>0.3098293783</v>
      </c>
      <c r="V39" s="222">
        <f t="shared" si="29"/>
        <v>0.237423629</v>
      </c>
      <c r="W39" s="222">
        <f t="shared" si="29"/>
        <v>0.3929531714</v>
      </c>
      <c r="X39" s="222">
        <f t="shared" si="29"/>
        <v>0.2378720903</v>
      </c>
      <c r="Y39" s="222">
        <f t="shared" si="29"/>
        <v>0.1330734887</v>
      </c>
      <c r="Z39" s="222">
        <f t="shared" si="29"/>
        <v>0.1435094504</v>
      </c>
      <c r="AA39" s="222">
        <f t="shared" si="29"/>
        <v>0.3473198194</v>
      </c>
      <c r="AB39" s="222">
        <f t="shared" si="29"/>
        <v>0.3135163718</v>
      </c>
      <c r="AC39" s="222">
        <f t="shared" si="29"/>
        <v>0.3191053599</v>
      </c>
      <c r="AD39" s="222">
        <f t="shared" si="29"/>
        <v>0.3666979956</v>
      </c>
      <c r="AE39" s="222">
        <f t="shared" si="29"/>
        <v>0.3590893603</v>
      </c>
      <c r="AF39" s="222">
        <f t="shared" si="29"/>
        <v>0.3418741573</v>
      </c>
      <c r="AG39" s="222">
        <f t="shared" si="29"/>
        <v>0.4224145659</v>
      </c>
      <c r="AH39" s="222">
        <f t="shared" si="29"/>
        <v>0.3214231625</v>
      </c>
      <c r="AI39" s="222">
        <f t="shared" si="29"/>
        <v>0.3986767011</v>
      </c>
      <c r="AJ39" s="222">
        <f t="shared" si="29"/>
        <v>0.4142306662</v>
      </c>
      <c r="AK39" s="222">
        <f t="shared" si="29"/>
        <v>0.4194157458</v>
      </c>
      <c r="AL39" s="222">
        <f t="shared" si="29"/>
        <v>0.3099465142</v>
      </c>
      <c r="AM39" s="222">
        <f t="shared" si="29"/>
        <v>0.3181994404</v>
      </c>
      <c r="AN39" s="222">
        <f t="shared" si="29"/>
        <v>0.3545978208</v>
      </c>
      <c r="AO39" s="222">
        <f t="shared" si="29"/>
        <v>0.4254047976</v>
      </c>
      <c r="AP39" s="222">
        <f t="shared" si="29"/>
        <v>0.412345009</v>
      </c>
      <c r="AQ39" s="222">
        <f t="shared" si="29"/>
        <v>0.2892946336</v>
      </c>
      <c r="AR39" s="222">
        <f t="shared" si="29"/>
        <v>0.2903493657</v>
      </c>
      <c r="AS39" s="222">
        <f t="shared" si="29"/>
        <v>0.288174352</v>
      </c>
      <c r="AT39" s="222">
        <f t="shared" si="29"/>
        <v>0.2859870171</v>
      </c>
      <c r="AU39" s="222">
        <f t="shared" si="29"/>
        <v>0.2874226544</v>
      </c>
      <c r="AV39" s="222">
        <f t="shared" si="29"/>
        <v>0.2843235624</v>
      </c>
      <c r="AW39" s="222">
        <f t="shared" si="29"/>
        <v>0.284562402</v>
      </c>
      <c r="AX39" s="222">
        <f t="shared" si="29"/>
        <v>0.2870763587</v>
      </c>
      <c r="AY39" s="222">
        <f t="shared" si="29"/>
        <v>0.2880814221</v>
      </c>
      <c r="AZ39" s="222">
        <f t="shared" si="29"/>
        <v>0.2876243518</v>
      </c>
      <c r="BA39" s="222">
        <f t="shared" si="29"/>
        <v>0.2882450623</v>
      </c>
      <c r="BB39" s="222">
        <f t="shared" si="29"/>
        <v>0.2872673089</v>
      </c>
      <c r="BC39" s="222">
        <f t="shared" si="29"/>
        <v>0.2860871038</v>
      </c>
      <c r="BD39" s="222">
        <f t="shared" si="29"/>
        <v>0.2858718542</v>
      </c>
      <c r="BE39" s="222">
        <f t="shared" si="29"/>
        <v>0.2862946714</v>
      </c>
      <c r="BF39" s="222">
        <f t="shared" si="29"/>
        <v>0.2863355321</v>
      </c>
      <c r="BG39" s="222">
        <f t="shared" si="29"/>
        <v>0.2871164136</v>
      </c>
      <c r="BH39" s="222">
        <f t="shared" si="29"/>
        <v>0.2876587219</v>
      </c>
      <c r="BI39" s="222">
        <f t="shared" si="29"/>
        <v>0.2874614607</v>
      </c>
      <c r="BJ39" s="222">
        <f t="shared" si="29"/>
        <v>0.2870192962</v>
      </c>
      <c r="BK39" s="222">
        <f t="shared" si="29"/>
        <v>0.2867529174</v>
      </c>
      <c r="BL39" s="222">
        <f t="shared" si="29"/>
        <v>0.2863713216</v>
      </c>
      <c r="BM39" s="222">
        <f t="shared" si="29"/>
        <v>0.2863411943</v>
      </c>
      <c r="BN39" s="222">
        <f t="shared" si="29"/>
        <v>0.2866554354</v>
      </c>
      <c r="BO39" s="222">
        <f t="shared" si="29"/>
        <v>0.2869733158</v>
      </c>
      <c r="BP39" s="222">
        <f t="shared" si="29"/>
        <v>0.2871182998</v>
      </c>
      <c r="BQ39" s="222">
        <f t="shared" si="29"/>
        <v>0.2872017737</v>
      </c>
      <c r="BR39" s="222">
        <f t="shared" si="29"/>
        <v>0.2870527384</v>
      </c>
      <c r="BS39" s="222">
        <f t="shared" si="29"/>
        <v>0.2867892323</v>
      </c>
      <c r="BT39" s="222">
        <f t="shared" si="29"/>
        <v>0.2866280369</v>
      </c>
      <c r="BU39" s="20"/>
    </row>
    <row r="40">
      <c r="A40" s="20"/>
      <c r="B40" s="140"/>
      <c r="C40" s="109"/>
      <c r="D40" s="109"/>
      <c r="E40" s="109"/>
      <c r="F40" s="178"/>
      <c r="G40" s="109"/>
      <c r="H40" s="109"/>
      <c r="I40" s="109"/>
      <c r="J40" s="109"/>
      <c r="K40" s="109"/>
      <c r="L40" s="20"/>
      <c r="M40" s="109"/>
      <c r="N40" s="109"/>
      <c r="O40" s="109"/>
      <c r="P40" s="109"/>
      <c r="Q40" s="109"/>
      <c r="R40" s="109"/>
      <c r="S40" s="109"/>
      <c r="T40" s="109"/>
      <c r="U40" s="109"/>
      <c r="V40" s="109"/>
      <c r="W40" s="109"/>
      <c r="X40" s="109"/>
      <c r="Y40" s="109"/>
      <c r="Z40" s="109"/>
      <c r="AA40" s="109"/>
      <c r="AB40" s="109"/>
      <c r="AC40" s="109"/>
      <c r="AD40" s="109"/>
      <c r="AE40" s="109"/>
      <c r="AF40" s="109"/>
      <c r="AG40" s="109"/>
      <c r="AH40" s="109"/>
      <c r="AI40" s="109"/>
      <c r="AJ40" s="109"/>
      <c r="AK40" s="109"/>
      <c r="AL40" s="109"/>
      <c r="AM40" s="109"/>
      <c r="AN40" s="109"/>
      <c r="AO40" s="109"/>
      <c r="AP40" s="109"/>
      <c r="AQ40" s="109"/>
      <c r="AR40" s="109"/>
      <c r="AS40" s="109"/>
      <c r="AT40" s="109"/>
      <c r="AU40" s="109"/>
      <c r="AV40" s="109"/>
      <c r="AW40" s="109"/>
      <c r="AX40" s="109"/>
      <c r="AY40" s="109"/>
      <c r="AZ40" s="109"/>
      <c r="BA40" s="109"/>
      <c r="BB40" s="109"/>
      <c r="BC40" s="109"/>
      <c r="BD40" s="109"/>
      <c r="BE40" s="109"/>
      <c r="BF40" s="109"/>
      <c r="BG40" s="109"/>
      <c r="BH40" s="109"/>
      <c r="BI40" s="109"/>
      <c r="BJ40" s="109"/>
      <c r="BK40" s="109"/>
      <c r="BL40" s="109"/>
      <c r="BM40" s="109"/>
      <c r="BN40" s="109"/>
      <c r="BO40" s="109"/>
      <c r="BP40" s="109"/>
      <c r="BQ40" s="109"/>
      <c r="BR40" s="109"/>
      <c r="BS40" s="109"/>
      <c r="BT40" s="109"/>
      <c r="BU40" s="20"/>
    </row>
    <row r="41">
      <c r="A41" s="20"/>
      <c r="B41" s="113" t="s">
        <v>83</v>
      </c>
      <c r="C41" s="163"/>
      <c r="D41" s="163"/>
      <c r="E41" s="163"/>
      <c r="F41" s="115" t="s">
        <v>38</v>
      </c>
      <c r="G41" s="222">
        <f t="shared" ref="G41:K41" si="30">(G36+G29)/G36</f>
        <v>0.746835443</v>
      </c>
      <c r="H41" s="222">
        <f t="shared" si="30"/>
        <v>0.7118695839</v>
      </c>
      <c r="I41" s="226">
        <f t="shared" si="30"/>
        <v>0.712405718</v>
      </c>
      <c r="J41" s="226">
        <f t="shared" si="30"/>
        <v>0.7131488139</v>
      </c>
      <c r="K41" s="226">
        <f t="shared" si="30"/>
        <v>0.7131362502</v>
      </c>
      <c r="L41" s="20"/>
      <c r="M41" s="222">
        <f t="shared" ref="M41:BT41" si="31">(M36+M29)/M36</f>
        <v>0.78125</v>
      </c>
      <c r="N41" s="222">
        <f t="shared" si="31"/>
        <v>0.7317073171</v>
      </c>
      <c r="O41" s="222">
        <f t="shared" si="31"/>
        <v>0.7380952381</v>
      </c>
      <c r="P41" s="222">
        <f t="shared" si="31"/>
        <v>0.7407407407</v>
      </c>
      <c r="Q41" s="222">
        <f t="shared" si="31"/>
        <v>0.8571428571</v>
      </c>
      <c r="R41" s="222">
        <f t="shared" si="31"/>
        <v>0.7647058824</v>
      </c>
      <c r="S41" s="222">
        <f t="shared" si="31"/>
        <v>0.8461538462</v>
      </c>
      <c r="T41" s="222">
        <f t="shared" si="31"/>
        <v>0.6363636364</v>
      </c>
      <c r="U41" s="222">
        <f t="shared" si="31"/>
        <v>0.6666666667</v>
      </c>
      <c r="V41" s="222">
        <f t="shared" si="31"/>
        <v>0.7</v>
      </c>
      <c r="W41" s="222">
        <f t="shared" si="31"/>
        <v>0.7037037037</v>
      </c>
      <c r="X41" s="222">
        <f t="shared" si="31"/>
        <v>0.76</v>
      </c>
      <c r="Y41" s="222">
        <f t="shared" si="31"/>
        <v>0.6666666667</v>
      </c>
      <c r="Z41" s="222">
        <f t="shared" si="31"/>
        <v>0.7931034483</v>
      </c>
      <c r="AA41" s="222">
        <f t="shared" si="31"/>
        <v>0.6666666667</v>
      </c>
      <c r="AB41" s="222">
        <f t="shared" si="31"/>
        <v>0.6666666667</v>
      </c>
      <c r="AC41" s="222">
        <f t="shared" si="31"/>
        <v>0.7368421053</v>
      </c>
      <c r="AD41" s="222">
        <f t="shared" si="31"/>
        <v>0.7317073171</v>
      </c>
      <c r="AE41" s="226">
        <f t="shared" si="31"/>
        <v>0.6994074074</v>
      </c>
      <c r="AF41" s="226">
        <f t="shared" si="31"/>
        <v>0.7246947637</v>
      </c>
      <c r="AG41" s="226">
        <f t="shared" si="31"/>
        <v>0.7180280971</v>
      </c>
      <c r="AH41" s="226">
        <f t="shared" si="31"/>
        <v>0.7106206897</v>
      </c>
      <c r="AI41" s="226">
        <f t="shared" si="31"/>
        <v>0.7059891107</v>
      </c>
      <c r="AJ41" s="226">
        <f t="shared" si="31"/>
        <v>0.7189972408</v>
      </c>
      <c r="AK41" s="226">
        <f t="shared" si="31"/>
        <v>0.7002580326</v>
      </c>
      <c r="AL41" s="226">
        <f t="shared" si="31"/>
        <v>0.711863652</v>
      </c>
      <c r="AM41" s="226">
        <f t="shared" si="31"/>
        <v>0.7221359381</v>
      </c>
      <c r="AN41" s="226">
        <f t="shared" si="31"/>
        <v>0.716891655</v>
      </c>
      <c r="AO41" s="226">
        <f t="shared" si="31"/>
        <v>0.7117480137</v>
      </c>
      <c r="AP41" s="226">
        <f t="shared" si="31"/>
        <v>0.7156659804</v>
      </c>
      <c r="AQ41" s="226">
        <f t="shared" si="31"/>
        <v>0.7107786342</v>
      </c>
      <c r="AR41" s="226">
        <f t="shared" si="31"/>
        <v>0.7095457452</v>
      </c>
      <c r="AS41" s="226">
        <f t="shared" si="31"/>
        <v>0.7118487948</v>
      </c>
      <c r="AT41" s="226">
        <f t="shared" si="31"/>
        <v>0.7140293037</v>
      </c>
      <c r="AU41" s="226">
        <f t="shared" si="31"/>
        <v>0.7125794583</v>
      </c>
      <c r="AV41" s="226">
        <f t="shared" si="31"/>
        <v>0.7156610478</v>
      </c>
      <c r="AW41" s="226">
        <f t="shared" si="31"/>
        <v>0.7154440443</v>
      </c>
      <c r="AX41" s="226">
        <f t="shared" si="31"/>
        <v>0.7129260057</v>
      </c>
      <c r="AY41" s="226">
        <f t="shared" si="31"/>
        <v>0.7119174337</v>
      </c>
      <c r="AZ41" s="226">
        <f t="shared" si="31"/>
        <v>0.7123736917</v>
      </c>
      <c r="BA41" s="226">
        <f t="shared" si="31"/>
        <v>0.7117563872</v>
      </c>
      <c r="BB41" s="226">
        <f t="shared" si="31"/>
        <v>0.71273287</v>
      </c>
      <c r="BC41" s="226">
        <f t="shared" si="31"/>
        <v>0.7139125298</v>
      </c>
      <c r="BD41" s="226">
        <f t="shared" si="31"/>
        <v>0.714127972</v>
      </c>
      <c r="BE41" s="226">
        <f t="shared" si="31"/>
        <v>0.7137055979</v>
      </c>
      <c r="BF41" s="226">
        <f t="shared" si="31"/>
        <v>0.7136644446</v>
      </c>
      <c r="BG41" s="226">
        <f t="shared" si="31"/>
        <v>0.7128835125</v>
      </c>
      <c r="BH41" s="226">
        <f t="shared" si="31"/>
        <v>0.7123412776</v>
      </c>
      <c r="BI41" s="226">
        <f t="shared" si="31"/>
        <v>0.7125385825</v>
      </c>
      <c r="BJ41" s="226">
        <f t="shared" si="31"/>
        <v>0.7129806901</v>
      </c>
      <c r="BK41" s="226">
        <f t="shared" si="31"/>
        <v>0.7132470714</v>
      </c>
      <c r="BL41" s="226">
        <f t="shared" si="31"/>
        <v>0.7136286829</v>
      </c>
      <c r="BM41" s="226">
        <f t="shared" si="31"/>
        <v>0.7136588114</v>
      </c>
      <c r="BN41" s="226">
        <f t="shared" si="31"/>
        <v>0.7133445609</v>
      </c>
      <c r="BO41" s="226">
        <f t="shared" si="31"/>
        <v>0.713026683</v>
      </c>
      <c r="BP41" s="226">
        <f t="shared" si="31"/>
        <v>0.7128817015</v>
      </c>
      <c r="BQ41" s="226">
        <f t="shared" si="31"/>
        <v>0.7127982268</v>
      </c>
      <c r="BR41" s="226">
        <f t="shared" si="31"/>
        <v>0.7129472609</v>
      </c>
      <c r="BS41" s="226">
        <f t="shared" si="31"/>
        <v>0.7132107676</v>
      </c>
      <c r="BT41" s="226">
        <f t="shared" si="31"/>
        <v>0.7133719633</v>
      </c>
      <c r="BU41" s="20"/>
    </row>
    <row r="42">
      <c r="A42" s="20"/>
      <c r="B42" s="110" t="s">
        <v>84</v>
      </c>
      <c r="C42" s="136"/>
      <c r="D42" s="136"/>
      <c r="E42" s="136"/>
      <c r="F42" s="106" t="s">
        <v>38</v>
      </c>
      <c r="G42" s="222">
        <f>Actuals!H74</f>
        <v>0.7366</v>
      </c>
      <c r="H42" s="222">
        <f>Actuals!I74</f>
        <v>0.7465</v>
      </c>
      <c r="I42" s="227">
        <v>0.8729</v>
      </c>
      <c r="J42" s="227">
        <v>0.89</v>
      </c>
      <c r="K42" s="227">
        <v>0.9</v>
      </c>
      <c r="L42" s="20"/>
      <c r="M42" s="222">
        <f>Actuals!N74</f>
        <v>0.7741608921</v>
      </c>
      <c r="N42" s="222">
        <f>Actuals!O74</f>
        <v>0.714390022</v>
      </c>
      <c r="O42" s="222">
        <f>Actuals!P74</f>
        <v>0.6465856013</v>
      </c>
      <c r="P42" s="222">
        <f>Actuals!Q74</f>
        <v>0.7268893621</v>
      </c>
      <c r="Q42" s="222">
        <f>Actuals!R74</f>
        <v>0.6382173376</v>
      </c>
      <c r="R42" s="222">
        <f>Actuals!S74</f>
        <v>0.8633437098</v>
      </c>
      <c r="S42" s="222">
        <f>Actuals!T74</f>
        <v>0.7727358013</v>
      </c>
      <c r="T42" s="222">
        <f>Actuals!U74</f>
        <v>0.6735833792</v>
      </c>
      <c r="U42" s="222">
        <f>Actuals!V74</f>
        <v>0.8750777506</v>
      </c>
      <c r="V42" s="222">
        <f>Actuals!W74</f>
        <v>0.7452647845</v>
      </c>
      <c r="W42" s="222">
        <f>Actuals!X74</f>
        <v>0.736679928</v>
      </c>
      <c r="X42" s="222">
        <f>Actuals!Y74</f>
        <v>0.6721099678</v>
      </c>
      <c r="Y42" s="222">
        <f>Actuals!Z74</f>
        <v>0.8370078185</v>
      </c>
      <c r="Z42" s="222">
        <f>Actuals!AA74</f>
        <v>0.6823229386</v>
      </c>
      <c r="AA42" s="222">
        <f>Actuals!AB74</f>
        <v>0.7722178455</v>
      </c>
      <c r="AB42" s="222">
        <f>Actuals!AC74</f>
        <v>0.7910609196</v>
      </c>
      <c r="AC42" s="222">
        <f>Actuals!AD74</f>
        <v>0.6310892932</v>
      </c>
      <c r="AD42" s="228">
        <f>Actuals!AE74</f>
        <v>0.7651532161</v>
      </c>
      <c r="AE42" s="229">
        <v>0.7798637831001913</v>
      </c>
      <c r="AF42" s="229">
        <v>0.842362569254905</v>
      </c>
      <c r="AG42" s="229">
        <v>0.9248730281496533</v>
      </c>
      <c r="AH42" s="229">
        <v>0.8293927530422429</v>
      </c>
      <c r="AI42" s="229">
        <v>0.9791076043364875</v>
      </c>
      <c r="AJ42" s="227">
        <v>0.96</v>
      </c>
      <c r="AK42" s="229">
        <v>0.8339393682092429</v>
      </c>
      <c r="AL42" s="229">
        <v>0.8737459991357561</v>
      </c>
      <c r="AM42" s="227">
        <v>0.91</v>
      </c>
      <c r="AN42" s="229">
        <v>0.8729742786175676</v>
      </c>
      <c r="AO42" s="229">
        <v>0.7655758434520643</v>
      </c>
      <c r="AP42" s="229">
        <v>0.8377178103135989</v>
      </c>
      <c r="AQ42" s="229">
        <v>0.8867430136223431</v>
      </c>
      <c r="AR42" s="229">
        <v>0.8855902793858998</v>
      </c>
      <c r="AS42" s="229">
        <v>0.8880339702061097</v>
      </c>
      <c r="AT42" s="229">
        <v>0.8903099281074116</v>
      </c>
      <c r="AU42" s="229">
        <v>0.8886836360518651</v>
      </c>
      <c r="AV42" s="229">
        <v>0.8916982429487583</v>
      </c>
      <c r="AW42" s="229">
        <v>0.8915491092545209</v>
      </c>
      <c r="AX42" s="229">
        <v>0.8890563292398421</v>
      </c>
      <c r="AY42" s="229">
        <v>0.8880556652652107</v>
      </c>
      <c r="AZ42" s="229">
        <v>0.8885051658795977</v>
      </c>
      <c r="BA42" s="229">
        <v>0.8878650015990976</v>
      </c>
      <c r="BB42" s="229">
        <v>0.8888418426002982</v>
      </c>
      <c r="BC42" s="229">
        <v>0.8900324623351827</v>
      </c>
      <c r="BD42" s="229">
        <v>0.8902508206804693</v>
      </c>
      <c r="BE42" s="229">
        <v>0.8898274672883997</v>
      </c>
      <c r="BF42" s="229">
        <v>0.8897834185005444</v>
      </c>
      <c r="BG42" s="229">
        <v>0.88900029037223</v>
      </c>
      <c r="BH42" s="229">
        <v>0.888459517947823</v>
      </c>
      <c r="BI42" s="229">
        <v>0.8886583888551323</v>
      </c>
      <c r="BJ42" s="229">
        <v>0.8891004360816355</v>
      </c>
      <c r="BK42" s="229">
        <v>0.8893662930403123</v>
      </c>
      <c r="BL42" s="229">
        <v>0.8897474829110923</v>
      </c>
      <c r="BM42" s="229">
        <v>0.8897775811308313</v>
      </c>
      <c r="BN42" s="229">
        <v>0.8894636556403255</v>
      </c>
      <c r="BO42" s="229">
        <v>0.8891459211850321</v>
      </c>
      <c r="BP42" s="229">
        <v>0.8890008479617346</v>
      </c>
      <c r="BQ42" s="229">
        <v>0.8889172723441017</v>
      </c>
      <c r="BR42" s="229">
        <v>0.8890662760623853</v>
      </c>
      <c r="BS42" s="229">
        <v>0.8893298191731351</v>
      </c>
      <c r="BT42" s="229">
        <v>0.8894910622111125</v>
      </c>
      <c r="BU42" s="20"/>
    </row>
    <row r="43">
      <c r="A43" s="20"/>
      <c r="B43" s="223" t="s">
        <v>85</v>
      </c>
      <c r="C43" s="224"/>
      <c r="D43" s="224"/>
      <c r="E43" s="224"/>
      <c r="F43" s="225" t="s">
        <v>38</v>
      </c>
      <c r="G43" s="222">
        <f t="shared" ref="G43:H43" si="32">(G37+G21+G20+G19)/G37</f>
        <v>1.520828246</v>
      </c>
      <c r="H43" s="228">
        <f t="shared" si="32"/>
        <v>1.766320873</v>
      </c>
      <c r="I43" s="227">
        <v>1.2</v>
      </c>
      <c r="J43" s="227">
        <v>1.15</v>
      </c>
      <c r="K43" s="227">
        <v>1.21</v>
      </c>
      <c r="L43" s="20"/>
      <c r="M43" s="222">
        <f>Actuals!N75</f>
        <v>1.102947442</v>
      </c>
      <c r="N43" s="222">
        <f>Actuals!O75</f>
        <v>1.153752135</v>
      </c>
      <c r="O43" s="222">
        <f>Actuals!P75</f>
        <v>1.249815876</v>
      </c>
      <c r="P43" s="222">
        <f>Actuals!Q75</f>
        <v>1.021446884</v>
      </c>
      <c r="Q43" s="222">
        <f>Actuals!R75</f>
        <v>1.038311916</v>
      </c>
      <c r="R43" s="222">
        <f>Actuals!S75</f>
        <v>1.035764374</v>
      </c>
      <c r="S43" s="222">
        <f>Actuals!T75</f>
        <v>1.188362197</v>
      </c>
      <c r="T43" s="222">
        <f>Actuals!U75</f>
        <v>1.013610231</v>
      </c>
      <c r="U43" s="222">
        <f>Actuals!V75</f>
        <v>1.180770758</v>
      </c>
      <c r="V43" s="222">
        <f>Actuals!W75</f>
        <v>1.074430076</v>
      </c>
      <c r="W43" s="222">
        <f>Actuals!X75</f>
        <v>1.136921786</v>
      </c>
      <c r="X43" s="222">
        <f>Actuals!Y75</f>
        <v>1.22625308</v>
      </c>
      <c r="Y43" s="222">
        <f>Actuals!Z75</f>
        <v>1.039954637</v>
      </c>
      <c r="Z43" s="222">
        <f>Actuals!AA75</f>
        <v>1.140404612</v>
      </c>
      <c r="AA43" s="222">
        <f>Actuals!AB75</f>
        <v>1.123320894</v>
      </c>
      <c r="AB43" s="222">
        <f>Actuals!AC75</f>
        <v>1.239962755</v>
      </c>
      <c r="AC43" s="222">
        <f>Actuals!AD75</f>
        <v>1.09135386</v>
      </c>
      <c r="AD43" s="228">
        <f>Actuals!AE75</f>
        <v>1.142785418</v>
      </c>
      <c r="AE43" s="229">
        <v>1.0877634471041278</v>
      </c>
      <c r="AF43" s="229">
        <v>1.2681976967091695</v>
      </c>
      <c r="AG43" s="227">
        <v>1.33</v>
      </c>
      <c r="AH43" s="229">
        <v>1.1469548335148414</v>
      </c>
      <c r="AI43" s="227">
        <v>1.34</v>
      </c>
      <c r="AJ43" s="227">
        <v>1.35</v>
      </c>
      <c r="AK43" s="227">
        <v>1.36</v>
      </c>
      <c r="AL43" s="229">
        <v>1.2956552116793223</v>
      </c>
      <c r="AM43" s="227">
        <v>1.33</v>
      </c>
      <c r="AN43" s="227">
        <v>1.37</v>
      </c>
      <c r="AO43" s="229">
        <v>1.2041079121441929</v>
      </c>
      <c r="AP43" s="227">
        <v>1.19</v>
      </c>
      <c r="AQ43" s="227">
        <v>1.07</v>
      </c>
      <c r="AR43" s="227">
        <v>1.11</v>
      </c>
      <c r="AS43" s="227">
        <v>1.09</v>
      </c>
      <c r="AT43" s="227">
        <v>1.08</v>
      </c>
      <c r="AU43" s="227">
        <v>1.15</v>
      </c>
      <c r="AV43" s="227">
        <v>1.13</v>
      </c>
      <c r="AW43" s="227">
        <v>1.17</v>
      </c>
      <c r="AX43" s="227">
        <v>1.195</v>
      </c>
      <c r="AY43" s="227">
        <v>1.06</v>
      </c>
      <c r="AZ43" s="227">
        <v>1.245</v>
      </c>
      <c r="BA43" s="227">
        <v>1.1</v>
      </c>
      <c r="BB43" s="227">
        <v>1.13</v>
      </c>
      <c r="BC43" s="227">
        <v>1.12</v>
      </c>
      <c r="BD43" s="227">
        <v>1.345</v>
      </c>
      <c r="BE43" s="227">
        <v>1.03</v>
      </c>
      <c r="BF43" s="227">
        <v>1.19</v>
      </c>
      <c r="BG43" s="227">
        <v>1.18</v>
      </c>
      <c r="BH43" s="229">
        <v>1.045</v>
      </c>
      <c r="BI43" s="229">
        <v>1.0699999999999998</v>
      </c>
      <c r="BJ43" s="229">
        <v>1.0950000000000002</v>
      </c>
      <c r="BK43" s="229">
        <v>1.12</v>
      </c>
      <c r="BL43" s="229">
        <v>1.145</v>
      </c>
      <c r="BM43" s="229">
        <v>1.17</v>
      </c>
      <c r="BN43" s="229">
        <v>1.1949999999999998</v>
      </c>
      <c r="BO43" s="229">
        <v>1.2200000000000002</v>
      </c>
      <c r="BP43" s="229">
        <v>1.245</v>
      </c>
      <c r="BQ43" s="229">
        <v>1.27</v>
      </c>
      <c r="BR43" s="229">
        <v>1.295</v>
      </c>
      <c r="BS43" s="229">
        <v>1.3199999999999998</v>
      </c>
      <c r="BT43" s="229">
        <v>1.34499999999999</v>
      </c>
      <c r="BU43" s="20"/>
    </row>
    <row r="44">
      <c r="A44" s="20"/>
      <c r="B44" s="109"/>
      <c r="C44" s="109"/>
      <c r="D44" s="109"/>
      <c r="E44" s="109"/>
      <c r="F44" s="178"/>
      <c r="G44" s="109"/>
      <c r="H44" s="109"/>
      <c r="I44" s="109"/>
      <c r="J44" s="109"/>
      <c r="K44" s="109"/>
      <c r="L44" s="20"/>
      <c r="M44" s="109"/>
      <c r="N44" s="109"/>
      <c r="O44" s="109"/>
      <c r="P44" s="109"/>
      <c r="Q44" s="109"/>
      <c r="R44" s="109"/>
      <c r="S44" s="109"/>
      <c r="T44" s="109"/>
      <c r="U44" s="109"/>
      <c r="V44" s="109"/>
      <c r="W44" s="109"/>
      <c r="X44" s="109"/>
      <c r="Y44" s="109"/>
      <c r="Z44" s="109"/>
      <c r="AA44" s="109"/>
      <c r="AB44" s="109"/>
      <c r="AC44" s="109"/>
      <c r="AD44" s="109"/>
      <c r="AE44" s="109"/>
      <c r="AF44" s="109"/>
      <c r="AG44" s="109"/>
      <c r="AH44" s="109"/>
      <c r="AI44" s="109"/>
      <c r="AJ44" s="109"/>
      <c r="AK44" s="109"/>
      <c r="AL44" s="109"/>
      <c r="AM44" s="109"/>
      <c r="AN44" s="109"/>
      <c r="AO44" s="109"/>
      <c r="AP44" s="109"/>
      <c r="AQ44" s="109"/>
      <c r="AR44" s="109"/>
      <c r="AS44" s="109"/>
      <c r="AT44" s="109"/>
      <c r="AU44" s="109"/>
      <c r="AV44" s="109"/>
      <c r="AW44" s="109"/>
      <c r="AX44" s="109"/>
      <c r="AY44" s="109"/>
      <c r="AZ44" s="109"/>
      <c r="BA44" s="109"/>
      <c r="BB44" s="109"/>
      <c r="BC44" s="109"/>
      <c r="BD44" s="109"/>
      <c r="BE44" s="109"/>
      <c r="BF44" s="109"/>
      <c r="BG44" s="109"/>
      <c r="BH44" s="109"/>
      <c r="BI44" s="109"/>
      <c r="BJ44" s="109"/>
      <c r="BK44" s="109"/>
      <c r="BL44" s="109"/>
      <c r="BM44" s="109"/>
      <c r="BN44" s="109"/>
      <c r="BO44" s="109"/>
      <c r="BP44" s="109"/>
      <c r="BQ44" s="109"/>
      <c r="BR44" s="109"/>
      <c r="BS44" s="109"/>
      <c r="BT44" s="109"/>
      <c r="BU44" s="20"/>
    </row>
    <row r="45">
      <c r="A45" s="20"/>
      <c r="B45" s="102" t="s">
        <v>97</v>
      </c>
      <c r="C45" s="103"/>
      <c r="D45" s="103"/>
      <c r="E45" s="103"/>
      <c r="F45" s="219"/>
      <c r="G45" s="103"/>
      <c r="H45" s="103"/>
      <c r="I45" s="103"/>
      <c r="J45" s="103"/>
      <c r="K45" s="103"/>
      <c r="L45" s="103"/>
      <c r="M45" s="103"/>
      <c r="N45" s="103"/>
      <c r="O45" s="103"/>
      <c r="P45" s="103"/>
      <c r="Q45" s="103"/>
      <c r="R45" s="103"/>
      <c r="S45" s="103"/>
      <c r="T45" s="103"/>
      <c r="U45" s="103"/>
      <c r="V45" s="103"/>
      <c r="W45" s="103"/>
      <c r="X45" s="103"/>
      <c r="Y45" s="103"/>
      <c r="Z45" s="103"/>
      <c r="AA45" s="103"/>
      <c r="AB45" s="103"/>
      <c r="AC45" s="103"/>
      <c r="AD45" s="103"/>
      <c r="AE45" s="103"/>
      <c r="AF45" s="103"/>
      <c r="AG45" s="103"/>
      <c r="AH45" s="103"/>
      <c r="AI45" s="103"/>
      <c r="AJ45" s="103"/>
      <c r="AK45" s="103"/>
      <c r="AL45" s="103"/>
      <c r="AM45" s="103"/>
      <c r="AN45" s="103"/>
      <c r="AO45" s="103"/>
      <c r="AP45" s="103"/>
      <c r="AQ45" s="103"/>
      <c r="AR45" s="103"/>
      <c r="AS45" s="103"/>
      <c r="AT45" s="103"/>
      <c r="AU45" s="103"/>
      <c r="AV45" s="103"/>
      <c r="AW45" s="103"/>
      <c r="AX45" s="103"/>
      <c r="AY45" s="103"/>
      <c r="AZ45" s="103"/>
      <c r="BA45" s="103"/>
      <c r="BB45" s="103"/>
      <c r="BC45" s="103"/>
      <c r="BD45" s="103"/>
      <c r="BE45" s="103"/>
      <c r="BF45" s="103"/>
      <c r="BG45" s="103"/>
      <c r="BH45" s="103"/>
      <c r="BI45" s="103"/>
      <c r="BJ45" s="103"/>
      <c r="BK45" s="103"/>
      <c r="BL45" s="103"/>
      <c r="BM45" s="103"/>
      <c r="BN45" s="103"/>
      <c r="BO45" s="103"/>
      <c r="BP45" s="103"/>
      <c r="BQ45" s="103"/>
      <c r="BR45" s="103"/>
      <c r="BS45" s="103"/>
      <c r="BT45" s="103"/>
      <c r="BU45" s="20"/>
    </row>
    <row r="46">
      <c r="A46" s="20"/>
      <c r="B46" s="113" t="s">
        <v>86</v>
      </c>
      <c r="C46" s="163"/>
      <c r="D46" s="163"/>
      <c r="E46" s="163"/>
      <c r="F46" s="115" t="s">
        <v>33</v>
      </c>
      <c r="G46" s="213">
        <f t="shared" ref="G46:K46" si="33">iferror(1/G38,0)</f>
        <v>3.90438155</v>
      </c>
      <c r="H46" s="213">
        <f t="shared" si="33"/>
        <v>3.467596934</v>
      </c>
      <c r="I46" s="213">
        <f t="shared" si="33"/>
        <v>3.481294395</v>
      </c>
      <c r="J46" s="213">
        <f t="shared" si="33"/>
        <v>3.486128169</v>
      </c>
      <c r="K46" s="213">
        <f t="shared" si="33"/>
        <v>3.485975487</v>
      </c>
      <c r="L46" s="20"/>
      <c r="M46" s="213">
        <f>if(M13=1,Actuals!N77, 1/M38)</f>
        <v>4.571428571</v>
      </c>
      <c r="N46" s="213">
        <f>if(N13=1,Actuals!O77, 1/N38)</f>
        <v>3.727272727</v>
      </c>
      <c r="O46" s="213">
        <f>if(O13=1,Actuals!P77, 1/O38)</f>
        <v>3.818181818</v>
      </c>
      <c r="P46" s="213">
        <f>if(P13=1,Actuals!Q77, 1/P38)</f>
        <v>3.857142857</v>
      </c>
      <c r="Q46" s="213">
        <f>if(Q13=1,Actuals!R77, 1/Q38)</f>
        <v>7</v>
      </c>
      <c r="R46" s="213">
        <f>if(R13=1,Actuals!S77, 1/R38)</f>
        <v>4.25</v>
      </c>
      <c r="S46" s="213">
        <f>if(S13=1,Actuals!T77, 1/S38)</f>
        <v>6.5</v>
      </c>
      <c r="T46" s="213">
        <f>if(T13=1,Actuals!U77, 1/T38)</f>
        <v>2.75</v>
      </c>
      <c r="U46" s="213">
        <f>if(U13=1,Actuals!V77, 1/U38)</f>
        <v>3</v>
      </c>
      <c r="V46" s="213">
        <f>if(V13=1,Actuals!W77, 1/V38)</f>
        <v>3.333333333</v>
      </c>
      <c r="W46" s="213">
        <f>if(W13=1,Actuals!X77, 1/W38)</f>
        <v>3.375</v>
      </c>
      <c r="X46" s="213">
        <f>if(X13=1,Actuals!Y77, 1/X38)</f>
        <v>4.166666667</v>
      </c>
      <c r="Y46" s="213">
        <f>if(Y13=1,Actuals!Z77, 1/Y38)</f>
        <v>3</v>
      </c>
      <c r="Z46" s="213">
        <f>if(Z13=1,Actuals!AA77, 1/Z38)</f>
        <v>4.833333333</v>
      </c>
      <c r="AA46" s="213">
        <f>if(AA13=1,Actuals!AB77, 1/AA38)</f>
        <v>3</v>
      </c>
      <c r="AB46" s="213">
        <f>if(AB13=1,Actuals!AC77, 1/AB38)</f>
        <v>3</v>
      </c>
      <c r="AC46" s="213">
        <f>if(AC13=1,Actuals!AD77, 1/AC38)</f>
        <v>3.8</v>
      </c>
      <c r="AD46" s="213">
        <f>if(AD13=1,Actuals!AE77, 1/AD38)</f>
        <v>3.727272727</v>
      </c>
      <c r="AE46" s="213">
        <f>if(AE13=1,Actuals!AF77, 1/AE38)</f>
        <v>3.326761952</v>
      </c>
      <c r="AF46" s="213">
        <f>if(AF13=1,Actuals!AG77, 1/AF38)</f>
        <v>3.632331929</v>
      </c>
      <c r="AG46" s="213">
        <f>if(AG13=1,Actuals!AH77, 1/AG38)</f>
        <v>3.546452641</v>
      </c>
      <c r="AH46" s="213">
        <f>if(AH13=1,Actuals!AI77, 1/AH38)</f>
        <v>3.455672069</v>
      </c>
      <c r="AI46" s="213">
        <f>if(AI13=1,Actuals!AJ77, 1/AI38)</f>
        <v>3.401234568</v>
      </c>
      <c r="AJ46" s="213">
        <f>if(AJ13=1,Actuals!AK77, 1/AJ38)</f>
        <v>3.558683918</v>
      </c>
      <c r="AK46" s="213">
        <f>if(AK13=1,Actuals!AL77, 1/AK38)</f>
        <v>3.33620283</v>
      </c>
      <c r="AL46" s="213">
        <f>if(AL13=1,Actuals!AM77, 1/AL38)</f>
        <v>3.470579144</v>
      </c>
      <c r="AM46" s="213">
        <f>if(AM13=1,Actuals!AN77, 1/AM38)</f>
        <v>3.598882105</v>
      </c>
      <c r="AN46" s="213">
        <f>if(AN13=1,Actuals!AO77, 1/AN38)</f>
        <v>3.532216615</v>
      </c>
      <c r="AO46" s="213">
        <f>if(AO13=1,Actuals!AP77, 1/AO38)</f>
        <v>3.469186849</v>
      </c>
      <c r="AP46" s="213">
        <f>if(AP13=1,Actuals!AQ77, 1/AP38)</f>
        <v>3.516990339</v>
      </c>
      <c r="AQ46" s="213">
        <f>if(AQ13=1,Actuals!AR77, 1/AQ38)</f>
        <v>3.45755922</v>
      </c>
      <c r="AR46" s="213">
        <f>if(AR13=1,Actuals!AS77, 1/AR38)</f>
        <v>3.442882944</v>
      </c>
      <c r="AS46" s="213">
        <f>if(AS13=1,Actuals!AT77, 1/AS38)</f>
        <v>3.4704002</v>
      </c>
      <c r="AT46" s="213">
        <f>if(AT13=1,Actuals!AU77, 1/AT38)</f>
        <v>3.496861787</v>
      </c>
      <c r="AU46" s="213">
        <f>if(AU13=1,Actuals!AV77, 1/AU38)</f>
        <v>3.479222445</v>
      </c>
      <c r="AV46" s="213">
        <f>if(AV13=1,Actuals!AW77, 1/AV38)</f>
        <v>3.516929328</v>
      </c>
      <c r="AW46" s="213">
        <f>if(AW13=1,Actuals!AX77, 1/AW38)</f>
        <v>3.514247303</v>
      </c>
      <c r="AX46" s="213">
        <f>if(AX13=1,Actuals!AY77, 1/AX38)</f>
        <v>3.483422462</v>
      </c>
      <c r="AY46" s="213">
        <f>if(AY13=1,Actuals!AZ77, 1/AY38)</f>
        <v>3.471227061</v>
      </c>
      <c r="AZ46" s="213">
        <f>if(AZ13=1,Actuals!BA77, 1/AZ38)</f>
        <v>3.476733425</v>
      </c>
      <c r="BA46" s="213">
        <f>if(BA13=1,Actuals!BB77, 1/BA38)</f>
        <v>3.469287629</v>
      </c>
      <c r="BB46" s="213">
        <f>if(BB13=1,Actuals!BC77, 1/BB38)</f>
        <v>3.481080484</v>
      </c>
      <c r="BC46" s="213">
        <f>if(BC13=1,Actuals!BD77, 1/BC38)</f>
        <v>3.495434453</v>
      </c>
      <c r="BD46" s="213">
        <f>if(BD13=1,Actuals!BE77, 1/BD38)</f>
        <v>3.498068723</v>
      </c>
      <c r="BE46" s="213">
        <f>if(BE13=1,Actuals!BF77, 1/BE38)</f>
        <v>3.492907975</v>
      </c>
      <c r="BF46" s="213">
        <f>if(BF13=1,Actuals!BG77, 1/BF38)</f>
        <v>3.492405959</v>
      </c>
      <c r="BG46" s="213">
        <f>if(BG13=1,Actuals!BH77, 1/BG38)</f>
        <v>3.482906916</v>
      </c>
      <c r="BH46" s="213">
        <f>if(BH13=1,Actuals!BI77, 1/BH38)</f>
        <v>3.476341659</v>
      </c>
      <c r="BI46" s="213">
        <f>if(BI13=1,Actuals!BJ77, 1/BI38)</f>
        <v>3.478727714</v>
      </c>
      <c r="BJ46" s="213">
        <f>if(BJ13=1,Actuals!BK77, 1/BJ38)</f>
        <v>3.484086142</v>
      </c>
      <c r="BK46" s="213">
        <f>if(BK13=1,Actuals!BL77, 1/BK38)</f>
        <v>3.48732271</v>
      </c>
      <c r="BL46" s="213">
        <f>if(BL13=1,Actuals!BM77, 1/BL38)</f>
        <v>3.491969831</v>
      </c>
      <c r="BM46" s="213">
        <f>if(BM13=1,Actuals!BN77, 1/BM38)</f>
        <v>3.492337253</v>
      </c>
      <c r="BN46" s="213">
        <f>if(BN13=1,Actuals!BO77, 1/BN38)</f>
        <v>3.488508724</v>
      </c>
      <c r="BO46" s="213">
        <f>if(BO13=1,Actuals!BP77, 1/BO38)</f>
        <v>3.484644533</v>
      </c>
      <c r="BP46" s="213">
        <f>if(BP13=1,Actuals!BQ77, 1/BP38)</f>
        <v>3.482884947</v>
      </c>
      <c r="BQ46" s="213">
        <f>if(BQ13=1,Actuals!BR77, 1/BQ38)</f>
        <v>3.481872653</v>
      </c>
      <c r="BR46" s="213">
        <f>if(BR13=1,Actuals!BS77, 1/BR38)</f>
        <v>3.483680397</v>
      </c>
      <c r="BS46" s="213">
        <f>if(BS13=1,Actuals!BT77, 1/BS38)</f>
        <v>3.48688126</v>
      </c>
      <c r="BT46" s="213">
        <f>if(BT13=1,Actuals!BU77, 1/BT38)</f>
        <v>3.488842235</v>
      </c>
      <c r="BU46" s="20"/>
    </row>
    <row r="47">
      <c r="A47" s="20"/>
      <c r="B47" s="110" t="s">
        <v>87</v>
      </c>
      <c r="C47" s="136"/>
      <c r="D47" s="136"/>
      <c r="E47" s="136"/>
      <c r="F47" s="106" t="s">
        <v>48</v>
      </c>
      <c r="G47" s="112">
        <f t="shared" ref="G47:K47" si="34">SUMIFS($M47:$BT47,$M$15:$BT$15,G$15)</f>
        <v>1021595.785</v>
      </c>
      <c r="H47" s="112">
        <f t="shared" si="34"/>
        <v>1010950.152</v>
      </c>
      <c r="I47" s="112">
        <f t="shared" si="34"/>
        <v>1140714.302</v>
      </c>
      <c r="J47" s="112">
        <f t="shared" si="34"/>
        <v>1145057.499</v>
      </c>
      <c r="K47" s="112">
        <f t="shared" si="34"/>
        <v>1144996.743</v>
      </c>
      <c r="L47" s="20"/>
      <c r="M47" s="112">
        <f>if(M13=1,Actuals!N78,M46*A33)</f>
        <v>88007.09597</v>
      </c>
      <c r="N47" s="112">
        <f>if(N13=1,Actuals!O78,N46*B33)</f>
        <v>72915.9664</v>
      </c>
      <c r="O47" s="112">
        <f>if(O13=1,Actuals!P78,O46*C33)</f>
        <v>75963.47271</v>
      </c>
      <c r="P47" s="112">
        <f>if(P13=1,Actuals!Q78,P46*D33)</f>
        <v>77259.91239</v>
      </c>
      <c r="Q47" s="112">
        <f>if(Q13=1,Actuals!R78,Q46*E33)</f>
        <v>140295.1458</v>
      </c>
      <c r="R47" s="112">
        <f>if(R13=1,Actuals!S78,R46*F33)</f>
        <v>85614.73117</v>
      </c>
      <c r="S47" s="112">
        <f>if(S13=1,Actuals!T78,S46*G33)</f>
        <v>132827.0016</v>
      </c>
      <c r="T47" s="112">
        <f>if(T13=1,Actuals!U78,T46*H33)</f>
        <v>56995.22094</v>
      </c>
      <c r="U47" s="112">
        <f>if(U13=1,Actuals!V78,U46*I33)</f>
        <v>62431.13873</v>
      </c>
      <c r="V47" s="112">
        <f>if(V13=1,Actuals!W78,V46*J33)</f>
        <v>70215.57564</v>
      </c>
      <c r="W47" s="112">
        <f>if(W13=1,Actuals!X78,W46*K33)</f>
        <v>71112.36802</v>
      </c>
      <c r="X47" s="112">
        <f>if(X13=1,Actuals!Y78,X46*L33)</f>
        <v>87958.15558</v>
      </c>
      <c r="Y47" s="112">
        <f>if(Y13=1,Actuals!Z78,Y46*M33)</f>
        <v>64236.87326</v>
      </c>
      <c r="Z47" s="112">
        <f>if(Z13=1,Actuals!AA78,Z46*N33)</f>
        <v>104766.8972</v>
      </c>
      <c r="AA47" s="112">
        <f>if(AA13=1,Actuals!AB78,AA46*O33)</f>
        <v>65513.68212</v>
      </c>
      <c r="AB47" s="112">
        <f>if(AB13=1,Actuals!AC78,AB46*P33)</f>
        <v>65831.73751</v>
      </c>
      <c r="AC47" s="112">
        <f>if(AC13=1,Actuals!AD78,AC46*Q33)</f>
        <v>83194.42765</v>
      </c>
      <c r="AD47" s="112">
        <f>if(AD13=1,Actuals!AE78,AD46*R33)</f>
        <v>81595.81048</v>
      </c>
      <c r="AE47" s="112">
        <f>if(AE13=1,Actuals!AF78,AE46*S33)</f>
        <v>84977.65676</v>
      </c>
      <c r="AF47" s="112">
        <f>if(AF13=1,Actuals!AG78,AF46*T33)</f>
        <v>94102.52766</v>
      </c>
      <c r="AG47" s="112">
        <f>if(AG13=1,Actuals!AH78,AG46*U33)</f>
        <v>92253.78203</v>
      </c>
      <c r="AH47" s="112">
        <f>if(AH13=1,Actuals!AI78,AH46*V33)</f>
        <v>90990.75132</v>
      </c>
      <c r="AI47" s="112">
        <f>if(AI13=1,Actuals!AJ78,AI46*W33)</f>
        <v>89581.42383</v>
      </c>
      <c r="AJ47" s="112">
        <f>if(AJ13=1,Actuals!AK78,AJ46*X33)</f>
        <v>93904.58211</v>
      </c>
      <c r="AK47" s="112">
        <f>if(AK13=1,Actuals!AL78,AK46*Y33)</f>
        <v>89294.68266</v>
      </c>
      <c r="AL47" s="112">
        <f>if(AL13=1,Actuals!AM78,AL46*Z33)</f>
        <v>94034.95046</v>
      </c>
      <c r="AM47" s="112">
        <f>if(AM13=1,Actuals!AN78,AM46*AA33)</f>
        <v>98240.00759</v>
      </c>
      <c r="AN47" s="112">
        <f>if(AN13=1,Actuals!AO78,AN46*AB33)</f>
        <v>96888.31542</v>
      </c>
      <c r="AO47" s="112">
        <f>if(AO13=1,Actuals!AP78,AO46*AC33)</f>
        <v>94939.80734</v>
      </c>
      <c r="AP47" s="112">
        <f>if(AP13=1,Actuals!AQ78,AP46*AD33)</f>
        <v>96240.50149</v>
      </c>
      <c r="AQ47" s="112">
        <f>if(AQ13=1,Actuals!AR78,AQ46*AE33)</f>
        <v>94614.63414</v>
      </c>
      <c r="AR47" s="112">
        <f>if(AR13=1,Actuals!AS78,AR46*AF33)</f>
        <v>94270.86985</v>
      </c>
      <c r="AS47" s="112">
        <f>if(AS13=1,Actuals!AT78,AS46*AG33)</f>
        <v>94982.23823</v>
      </c>
      <c r="AT47" s="112">
        <f>if(AT13=1,Actuals!AU78,AT46*AH33)</f>
        <v>95708.7959</v>
      </c>
      <c r="AU47" s="112">
        <f>if(AU13=1,Actuals!AV78,AU46*AI33)</f>
        <v>95230.7599</v>
      </c>
      <c r="AV47" s="112">
        <f>if(AV13=1,Actuals!AW78,AV46*AJ33)</f>
        <v>96268.73881</v>
      </c>
      <c r="AW47" s="112">
        <f>if(AW13=1,Actuals!AX78,AW46*AK33)</f>
        <v>96187.92379</v>
      </c>
      <c r="AX47" s="112">
        <f>if(AX13=1,Actuals!AY78,AX46*AL33)</f>
        <v>95345.61531</v>
      </c>
      <c r="AY47" s="112">
        <f>if(AY13=1,Actuals!AZ78,AY46*AM33)</f>
        <v>95012.97103</v>
      </c>
      <c r="AZ47" s="112">
        <f>if(AZ13=1,Actuals!BA78,AZ46*AN33)</f>
        <v>95163.95309</v>
      </c>
      <c r="BA47" s="112">
        <f>if(BA13=1,Actuals!BB78,BA46*AO33)</f>
        <v>94959.02546</v>
      </c>
      <c r="BB47" s="112">
        <f>if(BB13=1,Actuals!BC78,BB46*AP33)</f>
        <v>95282.23454</v>
      </c>
      <c r="BC47" s="112">
        <f>if(BC13=1,Actuals!BD78,BC46*AQ33)</f>
        <v>95675.30482</v>
      </c>
      <c r="BD47" s="112">
        <f>if(BD13=1,Actuals!BE78,BD46*AR33)</f>
        <v>95747.34349</v>
      </c>
      <c r="BE47" s="112">
        <f>if(BE13=1,Actuals!BF78,BE46*AS33)</f>
        <v>95605.93835</v>
      </c>
      <c r="BF47" s="112">
        <f>if(BF13=1,Actuals!BG78,BF46*AT33)</f>
        <v>95592.29559</v>
      </c>
      <c r="BG47" s="112">
        <f>if(BG13=1,Actuals!BH78,BG46*AU33)</f>
        <v>95332.30931</v>
      </c>
      <c r="BH47" s="112">
        <f>if(BH13=1,Actuals!BI78,BH46*AV33)</f>
        <v>95152.58408</v>
      </c>
      <c r="BI47" s="112">
        <f>if(BI13=1,Actuals!BJ78,BI46*AW33)</f>
        <v>95217.87958</v>
      </c>
      <c r="BJ47" s="112">
        <f>if(BJ13=1,Actuals!BK78,BJ46*AX33)</f>
        <v>95364.56649</v>
      </c>
      <c r="BK47" s="112">
        <f>if(BK13=1,Actuals!BL78,BK46*AY33)</f>
        <v>95453.15525</v>
      </c>
      <c r="BL47" s="112">
        <f>if(BL13=1,Actuals!BM78,BL46*AZ33)</f>
        <v>95580.3486</v>
      </c>
      <c r="BM47" s="112">
        <f>if(BM13=1,Actuals!BN78,BM46*BA33)</f>
        <v>95590.40507</v>
      </c>
      <c r="BN47" s="112">
        <f>if(BN13=1,Actuals!BO78,BN46*BB33)</f>
        <v>95485.61573</v>
      </c>
      <c r="BO47" s="112">
        <f>if(BO13=1,Actuals!BP78,BO46*BC33)</f>
        <v>95379.84629</v>
      </c>
      <c r="BP47" s="112">
        <f>if(BP13=1,Actuals!BQ78,BP46*BD33)</f>
        <v>95331.68301</v>
      </c>
      <c r="BQ47" s="112">
        <f>if(BQ13=1,Actuals!BR78,BQ46*BE33)</f>
        <v>95303.97531</v>
      </c>
      <c r="BR47" s="112">
        <f>if(BR13=1,Actuals!BS78,BR46*BF33)</f>
        <v>95353.45632</v>
      </c>
      <c r="BS47" s="112">
        <f>if(BS13=1,Actuals!BT78,BS46*BG33)</f>
        <v>95441.06843</v>
      </c>
      <c r="BT47" s="112">
        <f>if(BT13=1,Actuals!BU78,BT46*BH33)</f>
        <v>95494.74309</v>
      </c>
      <c r="BU47" s="20"/>
    </row>
    <row r="48">
      <c r="A48" s="20"/>
      <c r="B48" s="211" t="s">
        <v>88</v>
      </c>
      <c r="C48" s="109"/>
      <c r="D48" s="109"/>
      <c r="E48" s="109"/>
      <c r="F48" s="216" t="s">
        <v>48</v>
      </c>
      <c r="G48" s="112">
        <f t="shared" ref="G48:K48" si="35">SUMIFS($M48:$BT48,$M$15:$BT$15,G$15)</f>
        <v>359046.2153</v>
      </c>
      <c r="H48" s="112">
        <f t="shared" si="35"/>
        <v>369780.865</v>
      </c>
      <c r="I48" s="112">
        <f t="shared" si="35"/>
        <v>382869.9663</v>
      </c>
      <c r="J48" s="112">
        <f t="shared" si="35"/>
        <v>390289.4089</v>
      </c>
      <c r="K48" s="112">
        <f t="shared" si="35"/>
        <v>394998.727</v>
      </c>
      <c r="L48" s="20"/>
      <c r="M48" s="112">
        <f>if(M13=1,Actuals!N79,'P&amp;L'!A28*1000)</f>
        <v>37500</v>
      </c>
      <c r="N48" s="112">
        <f>if(N13=1,Actuals!O79,'P&amp;L'!B28*1000)</f>
        <v>28571.42857</v>
      </c>
      <c r="O48" s="112">
        <f>if(O13=1,Actuals!P79,'P&amp;L'!C28*1000)</f>
        <v>26086.95652</v>
      </c>
      <c r="P48" s="112">
        <f>if(P13=1,Actuals!Q79,'P&amp;L'!D28*1000)</f>
        <v>31578.94737</v>
      </c>
      <c r="Q48" s="112">
        <f>if(Q13=1,Actuals!R79,'P&amp;L'!E28*1000)</f>
        <v>33333.33333</v>
      </c>
      <c r="R48" s="112">
        <f>if(R13=1,Actuals!S79,'P&amp;L'!F28*1000)</f>
        <v>21428.57143</v>
      </c>
      <c r="S48" s="112">
        <f>if(S13=1,Actuals!T79,'P&amp;L'!G28*1000)</f>
        <v>24000</v>
      </c>
      <c r="T48" s="112">
        <f>if(T13=1,Actuals!U79,'P&amp;L'!H28*1000)</f>
        <v>26086.95652</v>
      </c>
      <c r="U48" s="112">
        <f>if(U13=1,Actuals!V79,'P&amp;L'!I28*1000)</f>
        <v>31578.94737</v>
      </c>
      <c r="V48" s="112">
        <f>if(V13=1,Actuals!W79,'P&amp;L'!J28*1000)</f>
        <v>26086.95652</v>
      </c>
      <c r="W48" s="112">
        <f>if(W13=1,Actuals!X79,'P&amp;L'!K28*1000)</f>
        <v>35294.11765</v>
      </c>
      <c r="X48" s="112">
        <f>if(X13=1,Actuals!Y79,'P&amp;L'!L28*1000)</f>
        <v>37500</v>
      </c>
      <c r="Y48" s="112">
        <f>if(Y13=1,Actuals!Z79,'P&amp;L'!M28*1000)</f>
        <v>27272.72727</v>
      </c>
      <c r="Z48" s="112">
        <f>if(Z13=1,Actuals!AA79,'P&amp;L'!N28*1000)</f>
        <v>30000</v>
      </c>
      <c r="AA48" s="112">
        <f>if(AA13=1,Actuals!AB79,'P&amp;L'!O28*1000)</f>
        <v>46153.84615</v>
      </c>
      <c r="AB48" s="112">
        <f>if(AB13=1,Actuals!AC79,'P&amp;L'!P28*1000)</f>
        <v>28571.42857</v>
      </c>
      <c r="AC48" s="112">
        <f>if(AC13=1,Actuals!AD79,'P&amp;L'!Q28*1000)</f>
        <v>22222.22222</v>
      </c>
      <c r="AD48" s="112">
        <f>if(AD13=1,Actuals!AE79,'P&amp;L'!R28*1000)</f>
        <v>26086.95652</v>
      </c>
      <c r="AE48" s="112">
        <f>if(AE13=1,Actuals!AF79,'P&amp;L'!S28*1000/AE28)</f>
        <v>31578.94737</v>
      </c>
      <c r="AF48" s="112">
        <f>if(AF13=1,Actuals!AG79,'P&amp;L'!T28*1000/AF28)</f>
        <v>31578.94737</v>
      </c>
      <c r="AG48" s="112">
        <f>if(AG13=1,Actuals!AH79,'P&amp;L'!U28*1000/AG28)</f>
        <v>31578.94737</v>
      </c>
      <c r="AH48" s="112">
        <f>if(AH13=1,Actuals!AI79,'P&amp;L'!V28*1000/AH28)</f>
        <v>31578.94737</v>
      </c>
      <c r="AI48" s="112">
        <f>if(AI13=1,Actuals!AJ79,'P&amp;L'!W28*1000/AI28)</f>
        <v>31578.94737</v>
      </c>
      <c r="AJ48" s="112">
        <f>if(AJ13=1,Actuals!AK79,'P&amp;L'!X28*1000/AJ28)</f>
        <v>31578.94737</v>
      </c>
      <c r="AK48" s="112">
        <f>if(AK13=1,Actuals!AL79,'P&amp;L'!Y28*1000/AK28)</f>
        <v>31578.94737</v>
      </c>
      <c r="AL48" s="112">
        <f>if(AL13=1,Actuals!AM79,'P&amp;L'!Z28*1000/AL28)</f>
        <v>31578.94737</v>
      </c>
      <c r="AM48" s="112">
        <f>if(AM13=1,Actuals!AN79,'P&amp;L'!AA28*1000/AM28)</f>
        <v>31578.94737</v>
      </c>
      <c r="AN48" s="112">
        <f>if(AN13=1,Actuals!AO79,'P&amp;L'!AB28*1000/AN28)</f>
        <v>31578.94737</v>
      </c>
      <c r="AO48" s="112">
        <f>if(AO13=1,Actuals!AP79,'P&amp;L'!AC28*1000/AO28)</f>
        <v>31578.94737</v>
      </c>
      <c r="AP48" s="112">
        <f>if(AP13=1,Actuals!AQ79,'P&amp;L'!AD28*1000/AP28)</f>
        <v>31578.94737</v>
      </c>
      <c r="AQ48" s="112">
        <f>if(AQ13=1,Actuals!AR79,'P&amp;L'!AE28*1000/AQ28)</f>
        <v>32152.22587</v>
      </c>
      <c r="AR48" s="112">
        <f>if(AR13=1,Actuals!AS79,'P&amp;L'!AF28*1000/AR28)</f>
        <v>32184.37809</v>
      </c>
      <c r="AS48" s="112">
        <f>if(AS13=1,Actuals!AT79,'P&amp;L'!AG28*1000/AS28)</f>
        <v>32216.56247</v>
      </c>
      <c r="AT48" s="112">
        <f>if(AT13=1,Actuals!AU79,'P&amp;L'!AH28*1000/AT28)</f>
        <v>32248.77903</v>
      </c>
      <c r="AU48" s="112">
        <f>if(AU13=1,Actuals!AV79,'P&amp;L'!AI28*1000/AU28)</f>
        <v>32281.02781</v>
      </c>
      <c r="AV48" s="112">
        <f>if(AV13=1,Actuals!AW79,'P&amp;L'!AJ28*1000/AV28)</f>
        <v>32313.30884</v>
      </c>
      <c r="AW48" s="112">
        <f>if(AW13=1,Actuals!AX79,'P&amp;L'!AK28*1000/AW28)</f>
        <v>32345.62215</v>
      </c>
      <c r="AX48" s="112">
        <f>if(AX13=1,Actuals!AY79,'P&amp;L'!AL28*1000/AX28)</f>
        <v>32377.96777</v>
      </c>
      <c r="AY48" s="112">
        <f>if(AY13=1,Actuals!AZ79,'P&amp;L'!AM28*1000/AY28)</f>
        <v>32410.34574</v>
      </c>
      <c r="AZ48" s="112">
        <f>if(AZ13=1,Actuals!BA79,'P&amp;L'!AN28*1000/AZ28)</f>
        <v>32442.75608</v>
      </c>
      <c r="BA48" s="112">
        <f>if(BA13=1,Actuals!BB79,'P&amp;L'!AO28*1000/BA28)</f>
        <v>32475.19884</v>
      </c>
      <c r="BB48" s="112">
        <f>if(BB13=1,Actuals!BC79,'P&amp;L'!AP28*1000/BB28)</f>
        <v>32507.67404</v>
      </c>
      <c r="BC48" s="112">
        <f>if(BC13=1,Actuals!BD79,'P&amp;L'!AQ28*1000/BC28)</f>
        <v>32540.18171</v>
      </c>
      <c r="BD48" s="112">
        <f>if(BD13=1,Actuals!BE79,'P&amp;L'!AR28*1000/BD28)</f>
        <v>32572.72189</v>
      </c>
      <c r="BE48" s="112">
        <f>if(BE13=1,Actuals!BF79,'P&amp;L'!AS28*1000/BE28)</f>
        <v>32605.29462</v>
      </c>
      <c r="BF48" s="112">
        <f>if(BF13=1,Actuals!BG79,'P&amp;L'!AT28*1000/BF28)</f>
        <v>32637.89991</v>
      </c>
      <c r="BG48" s="112">
        <f>if(BG13=1,Actuals!BH79,'P&amp;L'!AU28*1000/BG28)</f>
        <v>32670.53781</v>
      </c>
      <c r="BH48" s="112">
        <f>if(BH13=1,Actuals!BI79,'P&amp;L'!AV28*1000/BH28)</f>
        <v>32703.20835</v>
      </c>
      <c r="BI48" s="112">
        <f>if(BI13=1,Actuals!BJ79,'P&amp;L'!AW28*1000/BI28)</f>
        <v>32735.91156</v>
      </c>
      <c r="BJ48" s="112">
        <f>if(BJ13=1,Actuals!BK79,'P&amp;L'!AX28*1000/BJ28)</f>
        <v>32768.64747</v>
      </c>
      <c r="BK48" s="112">
        <f>if(BK13=1,Actuals!BL79,'P&amp;L'!AY28*1000/BK28)</f>
        <v>32801.41612</v>
      </c>
      <c r="BL48" s="112">
        <f>if(BL13=1,Actuals!BM79,'P&amp;L'!AZ28*1000/BL28)</f>
        <v>32834.21753</v>
      </c>
      <c r="BM48" s="112">
        <f>if(BM13=1,Actuals!BN79,'P&amp;L'!BA28*1000/BM28)</f>
        <v>32867.05175</v>
      </c>
      <c r="BN48" s="112">
        <f>if(BN13=1,Actuals!BO79,'P&amp;L'!BB28*1000/BN28)</f>
        <v>32899.9188</v>
      </c>
      <c r="BO48" s="112">
        <f>if(BO13=1,Actuals!BP79,'P&amp;L'!BC28*1000/BO28)</f>
        <v>32932.81872</v>
      </c>
      <c r="BP48" s="112">
        <f>if(BP13=1,Actuals!BQ79,'P&amp;L'!BD28*1000/BP28)</f>
        <v>32965.75154</v>
      </c>
      <c r="BQ48" s="112">
        <f>if(BQ13=1,Actuals!BR79,'P&amp;L'!BE28*1000/BQ28)</f>
        <v>32998.71729</v>
      </c>
      <c r="BR48" s="112">
        <f>if(BR13=1,Actuals!BS79,'P&amp;L'!BF28*1000/BR28)</f>
        <v>33031.71601</v>
      </c>
      <c r="BS48" s="112">
        <f>if(BS13=1,Actuals!BT79,'P&amp;L'!BG28*1000/BS28)</f>
        <v>33064.74772</v>
      </c>
      <c r="BT48" s="112">
        <f>if(BT13=1,Actuals!BU79,'P&amp;L'!BH28*1000/BT28)</f>
        <v>33097.81247</v>
      </c>
      <c r="BU48" s="20"/>
    </row>
    <row r="49">
      <c r="A49" s="20"/>
      <c r="B49" s="110" t="s">
        <v>98</v>
      </c>
      <c r="C49" s="136"/>
      <c r="D49" s="136"/>
      <c r="E49" s="136"/>
      <c r="F49" s="106" t="s">
        <v>33</v>
      </c>
      <c r="G49" s="213">
        <f t="shared" ref="G49:K49" si="36">G47/G48</f>
        <v>2.845304424</v>
      </c>
      <c r="H49" s="213">
        <f t="shared" si="36"/>
        <v>2.733916889</v>
      </c>
      <c r="I49" s="213">
        <f t="shared" si="36"/>
        <v>2.979377862</v>
      </c>
      <c r="J49" s="213">
        <f t="shared" si="36"/>
        <v>2.933867722</v>
      </c>
      <c r="K49" s="213">
        <f t="shared" si="36"/>
        <v>2.898735274</v>
      </c>
      <c r="L49" s="20"/>
      <c r="M49" s="213">
        <f t="shared" ref="M49:BT49" si="37">M47/M48</f>
        <v>2.346855892</v>
      </c>
      <c r="N49" s="213">
        <f t="shared" si="37"/>
        <v>2.552058824</v>
      </c>
      <c r="O49" s="213">
        <f t="shared" si="37"/>
        <v>2.911933121</v>
      </c>
      <c r="P49" s="213">
        <f t="shared" si="37"/>
        <v>2.446563892</v>
      </c>
      <c r="Q49" s="213">
        <f t="shared" si="37"/>
        <v>4.208854373</v>
      </c>
      <c r="R49" s="213">
        <f t="shared" si="37"/>
        <v>3.995354121</v>
      </c>
      <c r="S49" s="213">
        <f t="shared" si="37"/>
        <v>5.534458401</v>
      </c>
      <c r="T49" s="213">
        <f t="shared" si="37"/>
        <v>2.184816803</v>
      </c>
      <c r="U49" s="213">
        <f t="shared" si="37"/>
        <v>1.97698606</v>
      </c>
      <c r="V49" s="213">
        <f t="shared" si="37"/>
        <v>2.691597066</v>
      </c>
      <c r="W49" s="213">
        <f t="shared" si="37"/>
        <v>2.014850427</v>
      </c>
      <c r="X49" s="213">
        <f t="shared" si="37"/>
        <v>2.345550815</v>
      </c>
      <c r="Y49" s="213">
        <f t="shared" si="37"/>
        <v>2.355352019</v>
      </c>
      <c r="Z49" s="213">
        <f t="shared" si="37"/>
        <v>3.492229907</v>
      </c>
      <c r="AA49" s="213">
        <f t="shared" si="37"/>
        <v>1.419463113</v>
      </c>
      <c r="AB49" s="213">
        <f t="shared" si="37"/>
        <v>2.304110813</v>
      </c>
      <c r="AC49" s="213">
        <f t="shared" si="37"/>
        <v>3.743749244</v>
      </c>
      <c r="AD49" s="213">
        <f t="shared" si="37"/>
        <v>3.127839402</v>
      </c>
      <c r="AE49" s="213">
        <f t="shared" si="37"/>
        <v>2.690959131</v>
      </c>
      <c r="AF49" s="213">
        <f t="shared" si="37"/>
        <v>2.979913376</v>
      </c>
      <c r="AG49" s="213">
        <f t="shared" si="37"/>
        <v>2.921369764</v>
      </c>
      <c r="AH49" s="213">
        <f t="shared" si="37"/>
        <v>2.881373792</v>
      </c>
      <c r="AI49" s="213">
        <f t="shared" si="37"/>
        <v>2.836745088</v>
      </c>
      <c r="AJ49" s="213">
        <f t="shared" si="37"/>
        <v>2.9736451</v>
      </c>
      <c r="AK49" s="213">
        <f t="shared" si="37"/>
        <v>2.827664951</v>
      </c>
      <c r="AL49" s="213">
        <f t="shared" si="37"/>
        <v>2.977773431</v>
      </c>
      <c r="AM49" s="213">
        <f t="shared" si="37"/>
        <v>3.110933574</v>
      </c>
      <c r="AN49" s="213">
        <f t="shared" si="37"/>
        <v>3.068129988</v>
      </c>
      <c r="AO49" s="213">
        <f t="shared" si="37"/>
        <v>3.006427232</v>
      </c>
      <c r="AP49" s="213">
        <f t="shared" si="37"/>
        <v>3.04761588</v>
      </c>
      <c r="AQ49" s="213">
        <f t="shared" si="37"/>
        <v>2.94270868</v>
      </c>
      <c r="AR49" s="213">
        <f t="shared" si="37"/>
        <v>2.92908782</v>
      </c>
      <c r="AS49" s="213">
        <f t="shared" si="37"/>
        <v>2.948242486</v>
      </c>
      <c r="AT49" s="213">
        <f t="shared" si="37"/>
        <v>2.967826962</v>
      </c>
      <c r="AU49" s="213">
        <f t="shared" si="37"/>
        <v>2.950053525</v>
      </c>
      <c r="AV49" s="213">
        <f t="shared" si="37"/>
        <v>2.979228753</v>
      </c>
      <c r="AW49" s="213">
        <f t="shared" si="37"/>
        <v>2.973754017</v>
      </c>
      <c r="AX49" s="213">
        <f t="shared" si="37"/>
        <v>2.944768368</v>
      </c>
      <c r="AY49" s="213">
        <f t="shared" si="37"/>
        <v>2.93156302</v>
      </c>
      <c r="AZ49" s="213">
        <f t="shared" si="37"/>
        <v>2.933288184</v>
      </c>
      <c r="BA49" s="213">
        <f t="shared" si="37"/>
        <v>2.924047546</v>
      </c>
      <c r="BB49" s="213">
        <f t="shared" si="37"/>
        <v>2.931068966</v>
      </c>
      <c r="BC49" s="213">
        <f t="shared" si="37"/>
        <v>2.940220361</v>
      </c>
      <c r="BD49" s="213">
        <f t="shared" si="37"/>
        <v>2.939494704</v>
      </c>
      <c r="BE49" s="213">
        <f t="shared" si="37"/>
        <v>2.932221269</v>
      </c>
      <c r="BF49" s="213">
        <f t="shared" si="37"/>
        <v>2.928873973</v>
      </c>
      <c r="BG49" s="213">
        <f t="shared" si="37"/>
        <v>2.917990205</v>
      </c>
      <c r="BH49" s="213">
        <f t="shared" si="37"/>
        <v>2.909579484</v>
      </c>
      <c r="BI49" s="213">
        <f t="shared" si="37"/>
        <v>2.908667425</v>
      </c>
      <c r="BJ49" s="213">
        <f t="shared" si="37"/>
        <v>2.910238104</v>
      </c>
      <c r="BK49" s="213">
        <f t="shared" si="37"/>
        <v>2.910031534</v>
      </c>
      <c r="BL49" s="213">
        <f t="shared" si="37"/>
        <v>2.910998214</v>
      </c>
      <c r="BM49" s="213">
        <f t="shared" si="37"/>
        <v>2.908396098</v>
      </c>
      <c r="BN49" s="213">
        <f t="shared" si="37"/>
        <v>2.902305514</v>
      </c>
      <c r="BO49" s="213">
        <f t="shared" si="37"/>
        <v>2.896194435</v>
      </c>
      <c r="BP49" s="213">
        <f t="shared" si="37"/>
        <v>2.891840124</v>
      </c>
      <c r="BQ49" s="213">
        <f t="shared" si="37"/>
        <v>2.888111513</v>
      </c>
      <c r="BR49" s="213">
        <f t="shared" si="37"/>
        <v>2.886724271</v>
      </c>
      <c r="BS49" s="213">
        <f t="shared" si="37"/>
        <v>2.886490144</v>
      </c>
      <c r="BT49" s="213">
        <f t="shared" si="37"/>
        <v>2.885228236</v>
      </c>
      <c r="BU49" s="20"/>
    </row>
    <row r="50">
      <c r="A50" s="20"/>
      <c r="B50" s="230" t="s">
        <v>99</v>
      </c>
      <c r="C50" s="224"/>
      <c r="D50" s="224"/>
      <c r="E50" s="224"/>
      <c r="F50" s="225" t="s">
        <v>38</v>
      </c>
      <c r="G50" s="231">
        <f>IFERROR('P&amp;L'!G33+'P&amp;L'!G20,0)</f>
        <v>0</v>
      </c>
      <c r="H50" s="231">
        <f>IFERROR('P&amp;L'!H33+'P&amp;L'!H20,0)</f>
        <v>0.4204374062</v>
      </c>
      <c r="I50" s="231">
        <f>IFERROR('P&amp;L'!I33+'P&amp;L'!I20,0)</f>
        <v>0.5390864436</v>
      </c>
      <c r="J50" s="231">
        <f>IFERROR('P&amp;L'!J33+'P&amp;L'!J20,0)</f>
        <v>0.5855275268</v>
      </c>
      <c r="K50" s="231">
        <f>IFERROR('P&amp;L'!K33+'P&amp;L'!K20,0)</f>
        <v>0.6094792322</v>
      </c>
      <c r="L50" s="20"/>
      <c r="M50" s="231">
        <f>IFERROR('P&amp;L'!M33+'P&amp;L'!M20,0)</f>
        <v>0</v>
      </c>
      <c r="N50" s="231">
        <f>IFERROR('P&amp;L'!N33+'P&amp;L'!N20,0)</f>
        <v>-0.345772122</v>
      </c>
      <c r="O50" s="231">
        <f>IFERROR('P&amp;L'!O33+'P&amp;L'!O20,0)</f>
        <v>-0.2953915087</v>
      </c>
      <c r="P50" s="231">
        <f>IFERROR('P&amp;L'!P33+'P&amp;L'!P20,0)</f>
        <v>-0.2737526416</v>
      </c>
      <c r="Q50" s="231">
        <f>IFERROR('P&amp;L'!Q33+'P&amp;L'!Q20,0)</f>
        <v>-0.2523213608</v>
      </c>
      <c r="R50" s="231">
        <f>IFERROR('P&amp;L'!R33+'P&amp;L'!R20,0)</f>
        <v>-0.1929189706</v>
      </c>
      <c r="S50" s="231">
        <f>IFERROR('P&amp;L'!S33+'P&amp;L'!S20,0)</f>
        <v>-0.139069918</v>
      </c>
      <c r="T50" s="231">
        <f>IFERROR('P&amp;L'!T33+'P&amp;L'!T20,0)</f>
        <v>-0.1224671717</v>
      </c>
      <c r="U50" s="231">
        <f>IFERROR('P&amp;L'!U33+'P&amp;L'!U20,0)</f>
        <v>-0.118612405</v>
      </c>
      <c r="V50" s="231">
        <f>IFERROR('P&amp;L'!V33+'P&amp;L'!V20,0)</f>
        <v>-0.07042038184</v>
      </c>
      <c r="W50" s="231">
        <f>IFERROR('P&amp;L'!W33+'P&amp;L'!W20,0)</f>
        <v>-0.07808553341</v>
      </c>
      <c r="X50" s="231">
        <f>IFERROR('P&amp;L'!X33+'P&amp;L'!X20,0)</f>
        <v>-0.05965680982</v>
      </c>
      <c r="Y50" s="231">
        <f>IFERROR('P&amp;L'!Y33+'P&amp;L'!Y20,0)</f>
        <v>-0.02173594657</v>
      </c>
      <c r="Z50" s="231">
        <f>IFERROR('P&amp;L'!Z33+'P&amp;L'!Z20,0)</f>
        <v>0.01002572555</v>
      </c>
      <c r="AA50" s="231">
        <f>IFERROR('P&amp;L'!AA33+'P&amp;L'!AA20,0)</f>
        <v>0.0005948186367</v>
      </c>
      <c r="AB50" s="231">
        <f>IFERROR('P&amp;L'!AB33+'P&amp;L'!AB20,0)</f>
        <v>0.0252107862</v>
      </c>
      <c r="AC50" s="231">
        <f>IFERROR('P&amp;L'!AC33+'P&amp;L'!AC20,0)</f>
        <v>0.04380986473</v>
      </c>
      <c r="AD50" s="231">
        <f>IFERROR('P&amp;L'!AD33+'P&amp;L'!AD20,0)</f>
        <v>0.05138426217</v>
      </c>
      <c r="AE50" s="231">
        <f>IFERROR('P&amp;L'!AE33+'P&amp;L'!AE20,0)</f>
        <v>0.06618228048</v>
      </c>
      <c r="AF50" s="231">
        <f>IFERROR('P&amp;L'!AF33+'P&amp;L'!AF20,0)</f>
        <v>0.08638282025</v>
      </c>
      <c r="AG50" s="231">
        <f>IFERROR('P&amp;L'!AG33+'P&amp;L'!AG20,0)</f>
        <v>0.1056762129</v>
      </c>
      <c r="AH50" s="231">
        <f>IFERROR('P&amp;L'!AH33+'P&amp;L'!AH20,0)</f>
        <v>0.1208011788</v>
      </c>
      <c r="AI50" s="231">
        <f>IFERROR('P&amp;L'!AI33+'P&amp;L'!AI20,0)</f>
        <v>0.1399031856</v>
      </c>
      <c r="AJ50" s="231">
        <f>IFERROR('P&amp;L'!AJ33+'P&amp;L'!AJ20,0)</f>
        <v>0.1567176774</v>
      </c>
      <c r="AK50" s="231">
        <f>IFERROR('P&amp;L'!AK33+'P&amp;L'!AK20,0)</f>
        <v>0.1681659276</v>
      </c>
      <c r="AL50" s="231">
        <f>IFERROR('P&amp;L'!AL33+'P&amp;L'!AL20,0)</f>
        <v>0.1831877891</v>
      </c>
      <c r="AM50" s="231">
        <f>IFERROR('P&amp;L'!AM33+'P&amp;L'!AM20,0)</f>
        <v>0.2005036855</v>
      </c>
      <c r="AN50" s="231">
        <f>IFERROR('P&amp;L'!AN33+'P&amp;L'!AN20,0)</f>
        <v>0.2104368693</v>
      </c>
      <c r="AO50" s="231">
        <f>IFERROR('P&amp;L'!AO33+'P&amp;L'!AO20,0)</f>
        <v>0.2193108785</v>
      </c>
      <c r="AP50" s="231">
        <f>IFERROR('P&amp;L'!AP33+'P&amp;L'!AP20,0)</f>
        <v>0.2319302553</v>
      </c>
      <c r="AQ50" s="231">
        <f>IFERROR('P&amp;L'!AQ33+'P&amp;L'!AQ20,0)</f>
        <v>0.2444499468</v>
      </c>
      <c r="AR50" s="231">
        <f>IFERROR('P&amp;L'!AR33+'P&amp;L'!AR20,0)</f>
        <v>0.2553228179</v>
      </c>
      <c r="AS50" s="231">
        <f>IFERROR('P&amp;L'!AS33+'P&amp;L'!AS20,0)</f>
        <v>0.2658476245</v>
      </c>
      <c r="AT50" s="231">
        <f>IFERROR('P&amp;L'!AT33+'P&amp;L'!AT20,0)</f>
        <v>0.2759733587</v>
      </c>
      <c r="AU50" s="231">
        <f>IFERROR('P&amp;L'!AU33+'P&amp;L'!AU20,0)</f>
        <v>0.2856159343</v>
      </c>
      <c r="AV50" s="231">
        <f>IFERROR('P&amp;L'!AV33+'P&amp;L'!AV20,0)</f>
        <v>0.2950011019</v>
      </c>
      <c r="AW50" s="231">
        <f>IFERROR('P&amp;L'!AW33+'P&amp;L'!AW20,0)</f>
        <v>0.3039746893</v>
      </c>
      <c r="AX50" s="231">
        <f>IFERROR('P&amp;L'!AX33+'P&amp;L'!AX20,0)</f>
        <v>0.3125552039</v>
      </c>
      <c r="AY50" s="231">
        <f>IFERROR('P&amp;L'!AY33+'P&amp;L'!AY20,0)</f>
        <v>0.3208428849</v>
      </c>
      <c r="AZ50" s="231">
        <f>IFERROR('P&amp;L'!AZ33+'P&amp;L'!AZ20,0)</f>
        <v>0.3288640766</v>
      </c>
      <c r="BA50" s="231">
        <f>IFERROR('P&amp;L'!BA33+'P&amp;L'!BA20,0)</f>
        <v>0.3365822247</v>
      </c>
      <c r="BB50" s="231">
        <f>IFERROR('P&amp;L'!BB33+'P&amp;L'!BB20,0)</f>
        <v>0.344068968</v>
      </c>
      <c r="BC50" s="231">
        <f>IFERROR('P&amp;L'!BC33+'P&amp;L'!BC20,0)</f>
        <v>0.3513145889</v>
      </c>
      <c r="BD50" s="231">
        <f>IFERROR('P&amp;L'!BD33+'P&amp;L'!BD20,0)</f>
        <v>0.3583054722</v>
      </c>
      <c r="BE50" s="231">
        <f>IFERROR('P&amp;L'!BE33+'P&amp;L'!BE20,0)</f>
        <v>0.36505499</v>
      </c>
      <c r="BF50" s="231">
        <f>IFERROR('P&amp;L'!BF33+'P&amp;L'!BF20,0)</f>
        <v>0.3715928555</v>
      </c>
      <c r="BG50" s="231">
        <f>IFERROR('P&amp;L'!BG33+'P&amp;L'!BG20,0)</f>
        <v>0.3779078245</v>
      </c>
      <c r="BH50" s="231">
        <f>IFERROR('P&amp;L'!BH33+'P&amp;L'!BH20,0)</f>
        <v>0.3840264222</v>
      </c>
      <c r="BI50" s="231">
        <f>IFERROR('P&amp;L'!BI33+'P&amp;L'!BI20,0)</f>
        <v>0.3899692709</v>
      </c>
      <c r="BJ50" s="231">
        <f>IFERROR('P&amp;L'!BJ33+'P&amp;L'!BJ20,0)</f>
        <v>0.3957385234</v>
      </c>
      <c r="BK50" s="231">
        <f>IFERROR('P&amp;L'!BK33+'P&amp;L'!BK20,0)</f>
        <v>0.4013349499</v>
      </c>
      <c r="BL50" s="231">
        <f>IFERROR('P&amp;L'!BL33+'P&amp;L'!BL20,0)</f>
        <v>0.4067707302</v>
      </c>
      <c r="BM50" s="231">
        <f>IFERROR('P&amp;L'!BM33+'P&amp;L'!BM20,0)</f>
        <v>0.4120445677</v>
      </c>
      <c r="BN50" s="231">
        <f>IFERROR('P&amp;L'!BN33+'P&amp;L'!BN20,0)</f>
        <v>0.4171617495</v>
      </c>
      <c r="BO50" s="231">
        <f>IFERROR('P&amp;L'!BO33+'P&amp;L'!BO20,0)</f>
        <v>0.4221334225</v>
      </c>
      <c r="BP50" s="231">
        <f>IFERROR('P&amp;L'!BP33+'P&amp;L'!BP20,0)</f>
        <v>0.4269688045</v>
      </c>
      <c r="BQ50" s="231">
        <f>IFERROR('P&amp;L'!BQ33+'P&amp;L'!BQ20,0)</f>
        <v>0.4316723458</v>
      </c>
      <c r="BR50" s="231">
        <f>IFERROR('P&amp;L'!BR33+'P&amp;L'!BR20,0)</f>
        <v>0.4362525977</v>
      </c>
      <c r="BS50" s="231">
        <f>IFERROR('P&amp;L'!BS33+'P&amp;L'!BS20,0)</f>
        <v>0.4407134645</v>
      </c>
      <c r="BT50" s="231">
        <f>IFERROR('P&amp;L'!BT33+'P&amp;L'!BT20,0)</f>
        <v>0.4450564785</v>
      </c>
      <c r="BU50" s="20"/>
    </row>
    <row r="51">
      <c r="A51" s="20"/>
      <c r="B51" s="20"/>
      <c r="C51" s="20"/>
      <c r="D51" s="20"/>
      <c r="E51" s="20"/>
      <c r="F51" s="9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row>
    <row r="52">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row>
    <row r="53">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0"/>
      <c r="BR53" s="20"/>
      <c r="BS53" s="20"/>
      <c r="BT53" s="20"/>
      <c r="BU53" s="20"/>
    </row>
    <row r="54">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0"/>
      <c r="BN54" s="20"/>
      <c r="BO54" s="20"/>
      <c r="BP54" s="20"/>
      <c r="BQ54" s="20"/>
      <c r="BR54" s="20"/>
      <c r="BS54" s="20"/>
      <c r="BT54" s="20"/>
      <c r="BU54" s="20"/>
    </row>
    <row r="55">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c r="BP55" s="20"/>
      <c r="BQ55" s="20"/>
      <c r="BR55" s="20"/>
      <c r="BS55" s="20"/>
      <c r="BT55" s="20"/>
      <c r="BU55" s="20"/>
    </row>
    <row r="56">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0"/>
      <c r="BN56" s="20"/>
      <c r="BO56" s="20"/>
      <c r="BP56" s="20"/>
      <c r="BQ56" s="20"/>
      <c r="BR56" s="20"/>
      <c r="BS56" s="20"/>
      <c r="BT56" s="20"/>
      <c r="BU56" s="20"/>
    </row>
    <row r="57">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AY57" s="20"/>
      <c r="AZ57" s="20"/>
      <c r="BA57" s="20"/>
      <c r="BB57" s="20"/>
      <c r="BC57" s="20"/>
      <c r="BD57" s="20"/>
      <c r="BE57" s="20"/>
      <c r="BF57" s="20"/>
      <c r="BG57" s="20"/>
      <c r="BH57" s="20"/>
      <c r="BI57" s="20"/>
      <c r="BJ57" s="20"/>
      <c r="BK57" s="20"/>
      <c r="BL57" s="20"/>
      <c r="BM57" s="20"/>
      <c r="BN57" s="20"/>
      <c r="BO57" s="20"/>
      <c r="BP57" s="20"/>
      <c r="BQ57" s="20"/>
      <c r="BR57" s="20"/>
      <c r="BS57" s="20"/>
      <c r="BT57" s="20"/>
      <c r="BU57" s="2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6.0" ySplit="10.0" topLeftCell="G11" activePane="bottomRight" state="frozen"/>
      <selection activeCell="G1" sqref="G1" pane="topRight"/>
      <selection activeCell="A11" sqref="A11" pane="bottomLeft"/>
      <selection activeCell="G11" sqref="G11" pane="bottomRight"/>
    </sheetView>
  </sheetViews>
  <sheetFormatPr customHeight="1" defaultColWidth="12.63" defaultRowHeight="15.75" outlineLevelRow="1"/>
  <cols>
    <col customWidth="1" min="1" max="1" width="3.63"/>
    <col customWidth="1" min="2" max="2" width="20.88"/>
    <col customWidth="1" min="3" max="5" width="10.13"/>
    <col customWidth="1" min="7" max="7" width="12.88"/>
    <col customWidth="1" min="11" max="11" width="11.25"/>
    <col customWidth="1" min="12" max="12" width="3.5"/>
    <col customWidth="1" min="73" max="73" width="3.63"/>
  </cols>
  <sheetData>
    <row r="1">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row>
    <row r="2">
      <c r="A2" s="20"/>
      <c r="B2" s="21" t="s">
        <v>100</v>
      </c>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row>
    <row r="3">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row>
    <row r="4">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row>
    <row r="5">
      <c r="A5" s="20"/>
      <c r="B5" s="20"/>
      <c r="C5" s="20"/>
      <c r="D5" s="20"/>
      <c r="E5" s="20"/>
      <c r="F5" s="77"/>
      <c r="G5" s="78" t="str">
        <f t="shared" ref="G5:K5" si="1">IF(G13=1,"Actual","Forecast")</f>
        <v>Actual</v>
      </c>
      <c r="H5" s="78" t="str">
        <f t="shared" si="1"/>
        <v>Actual</v>
      </c>
      <c r="I5" s="79" t="str">
        <f t="shared" si="1"/>
        <v>Forecast</v>
      </c>
      <c r="J5" s="79" t="str">
        <f t="shared" si="1"/>
        <v>Forecast</v>
      </c>
      <c r="K5" s="79" t="str">
        <f t="shared" si="1"/>
        <v>Forecast</v>
      </c>
      <c r="L5" s="20"/>
      <c r="M5" s="214" t="str">
        <f t="shared" ref="M5:BT5" si="2">IF(M13=1,"Actual","Forecast")</f>
        <v>Actual</v>
      </c>
      <c r="N5" s="214" t="str">
        <f t="shared" si="2"/>
        <v>Actual</v>
      </c>
      <c r="O5" s="78" t="str">
        <f t="shared" si="2"/>
        <v>Actual</v>
      </c>
      <c r="P5" s="78" t="str">
        <f t="shared" si="2"/>
        <v>Actual</v>
      </c>
      <c r="Q5" s="78" t="str">
        <f t="shared" si="2"/>
        <v>Actual</v>
      </c>
      <c r="R5" s="78" t="str">
        <f t="shared" si="2"/>
        <v>Actual</v>
      </c>
      <c r="S5" s="78" t="str">
        <f t="shared" si="2"/>
        <v>Actual</v>
      </c>
      <c r="T5" s="78" t="str">
        <f t="shared" si="2"/>
        <v>Actual</v>
      </c>
      <c r="U5" s="78" t="str">
        <f t="shared" si="2"/>
        <v>Actual</v>
      </c>
      <c r="V5" s="78" t="str">
        <f t="shared" si="2"/>
        <v>Actual</v>
      </c>
      <c r="W5" s="78" t="str">
        <f t="shared" si="2"/>
        <v>Actual</v>
      </c>
      <c r="X5" s="78" t="str">
        <f t="shared" si="2"/>
        <v>Actual</v>
      </c>
      <c r="Y5" s="78" t="str">
        <f t="shared" si="2"/>
        <v>Actual</v>
      </c>
      <c r="Z5" s="78" t="str">
        <f t="shared" si="2"/>
        <v>Actual</v>
      </c>
      <c r="AA5" s="78" t="str">
        <f t="shared" si="2"/>
        <v>Actual</v>
      </c>
      <c r="AB5" s="78" t="str">
        <f t="shared" si="2"/>
        <v>Actual</v>
      </c>
      <c r="AC5" s="78" t="str">
        <f t="shared" si="2"/>
        <v>Actual</v>
      </c>
      <c r="AD5" s="78" t="str">
        <f t="shared" si="2"/>
        <v>Actual</v>
      </c>
      <c r="AE5" s="79" t="str">
        <f t="shared" si="2"/>
        <v>Forecast</v>
      </c>
      <c r="AF5" s="79" t="str">
        <f t="shared" si="2"/>
        <v>Forecast</v>
      </c>
      <c r="AG5" s="79" t="str">
        <f t="shared" si="2"/>
        <v>Forecast</v>
      </c>
      <c r="AH5" s="79" t="str">
        <f t="shared" si="2"/>
        <v>Forecast</v>
      </c>
      <c r="AI5" s="79" t="str">
        <f t="shared" si="2"/>
        <v>Forecast</v>
      </c>
      <c r="AJ5" s="79" t="str">
        <f t="shared" si="2"/>
        <v>Forecast</v>
      </c>
      <c r="AK5" s="79" t="str">
        <f t="shared" si="2"/>
        <v>Forecast</v>
      </c>
      <c r="AL5" s="79" t="str">
        <f t="shared" si="2"/>
        <v>Forecast</v>
      </c>
      <c r="AM5" s="79" t="str">
        <f t="shared" si="2"/>
        <v>Forecast</v>
      </c>
      <c r="AN5" s="79" t="str">
        <f t="shared" si="2"/>
        <v>Forecast</v>
      </c>
      <c r="AO5" s="79" t="str">
        <f t="shared" si="2"/>
        <v>Forecast</v>
      </c>
      <c r="AP5" s="79" t="str">
        <f t="shared" si="2"/>
        <v>Forecast</v>
      </c>
      <c r="AQ5" s="79" t="str">
        <f t="shared" si="2"/>
        <v>Forecast</v>
      </c>
      <c r="AR5" s="79" t="str">
        <f t="shared" si="2"/>
        <v>Forecast</v>
      </c>
      <c r="AS5" s="79" t="str">
        <f t="shared" si="2"/>
        <v>Forecast</v>
      </c>
      <c r="AT5" s="79" t="str">
        <f t="shared" si="2"/>
        <v>Forecast</v>
      </c>
      <c r="AU5" s="79" t="str">
        <f t="shared" si="2"/>
        <v>Forecast</v>
      </c>
      <c r="AV5" s="79" t="str">
        <f t="shared" si="2"/>
        <v>Forecast</v>
      </c>
      <c r="AW5" s="79" t="str">
        <f t="shared" si="2"/>
        <v>Forecast</v>
      </c>
      <c r="AX5" s="79" t="str">
        <f t="shared" si="2"/>
        <v>Forecast</v>
      </c>
      <c r="AY5" s="79" t="str">
        <f t="shared" si="2"/>
        <v>Forecast</v>
      </c>
      <c r="AZ5" s="79" t="str">
        <f t="shared" si="2"/>
        <v>Forecast</v>
      </c>
      <c r="BA5" s="79" t="str">
        <f t="shared" si="2"/>
        <v>Forecast</v>
      </c>
      <c r="BB5" s="79" t="str">
        <f t="shared" si="2"/>
        <v>Forecast</v>
      </c>
      <c r="BC5" s="79" t="str">
        <f t="shared" si="2"/>
        <v>Forecast</v>
      </c>
      <c r="BD5" s="79" t="str">
        <f t="shared" si="2"/>
        <v>Forecast</v>
      </c>
      <c r="BE5" s="79" t="str">
        <f t="shared" si="2"/>
        <v>Forecast</v>
      </c>
      <c r="BF5" s="79" t="str">
        <f t="shared" si="2"/>
        <v>Forecast</v>
      </c>
      <c r="BG5" s="79" t="str">
        <f t="shared" si="2"/>
        <v>Forecast</v>
      </c>
      <c r="BH5" s="79" t="str">
        <f t="shared" si="2"/>
        <v>Forecast</v>
      </c>
      <c r="BI5" s="79" t="str">
        <f t="shared" si="2"/>
        <v>Forecast</v>
      </c>
      <c r="BJ5" s="79" t="str">
        <f t="shared" si="2"/>
        <v>Forecast</v>
      </c>
      <c r="BK5" s="79" t="str">
        <f t="shared" si="2"/>
        <v>Forecast</v>
      </c>
      <c r="BL5" s="79" t="str">
        <f t="shared" si="2"/>
        <v>Forecast</v>
      </c>
      <c r="BM5" s="79" t="str">
        <f t="shared" si="2"/>
        <v>Forecast</v>
      </c>
      <c r="BN5" s="79" t="str">
        <f t="shared" si="2"/>
        <v>Forecast</v>
      </c>
      <c r="BO5" s="79" t="str">
        <f t="shared" si="2"/>
        <v>Forecast</v>
      </c>
      <c r="BP5" s="79" t="str">
        <f t="shared" si="2"/>
        <v>Forecast</v>
      </c>
      <c r="BQ5" s="79" t="str">
        <f t="shared" si="2"/>
        <v>Forecast</v>
      </c>
      <c r="BR5" s="79" t="str">
        <f t="shared" si="2"/>
        <v>Forecast</v>
      </c>
      <c r="BS5" s="79" t="str">
        <f t="shared" si="2"/>
        <v>Forecast</v>
      </c>
      <c r="BT5" s="79" t="str">
        <f t="shared" si="2"/>
        <v>Forecast</v>
      </c>
      <c r="BU5" s="20"/>
    </row>
    <row r="6" collapsed="1">
      <c r="A6" s="20"/>
      <c r="B6" s="20"/>
      <c r="C6" s="20"/>
      <c r="D6" s="20"/>
      <c r="E6" s="20"/>
      <c r="F6" s="81"/>
      <c r="G6" s="82">
        <f t="shared" ref="G6:K6" si="3">G7</f>
        <v>44562</v>
      </c>
      <c r="H6" s="83">
        <f t="shared" si="3"/>
        <v>44927</v>
      </c>
      <c r="I6" s="82">
        <f t="shared" si="3"/>
        <v>45292</v>
      </c>
      <c r="J6" s="83">
        <f t="shared" si="3"/>
        <v>45658</v>
      </c>
      <c r="K6" s="82">
        <f t="shared" si="3"/>
        <v>46023</v>
      </c>
      <c r="L6" s="20"/>
      <c r="M6" s="84">
        <f t="shared" ref="M6:BT6" si="4">M7</f>
        <v>44562</v>
      </c>
      <c r="N6" s="85">
        <f t="shared" si="4"/>
        <v>44593</v>
      </c>
      <c r="O6" s="85">
        <f t="shared" si="4"/>
        <v>44621</v>
      </c>
      <c r="P6" s="85">
        <f t="shared" si="4"/>
        <v>44652</v>
      </c>
      <c r="Q6" s="85">
        <f t="shared" si="4"/>
        <v>44682</v>
      </c>
      <c r="R6" s="85">
        <f t="shared" si="4"/>
        <v>44713</v>
      </c>
      <c r="S6" s="85">
        <f t="shared" si="4"/>
        <v>44743</v>
      </c>
      <c r="T6" s="85">
        <f t="shared" si="4"/>
        <v>44774</v>
      </c>
      <c r="U6" s="85">
        <f t="shared" si="4"/>
        <v>44805</v>
      </c>
      <c r="V6" s="85">
        <f t="shared" si="4"/>
        <v>44835</v>
      </c>
      <c r="W6" s="85">
        <f t="shared" si="4"/>
        <v>44866</v>
      </c>
      <c r="X6" s="85">
        <f t="shared" si="4"/>
        <v>44896</v>
      </c>
      <c r="Y6" s="85">
        <f t="shared" si="4"/>
        <v>44927</v>
      </c>
      <c r="Z6" s="85">
        <f t="shared" si="4"/>
        <v>44958</v>
      </c>
      <c r="AA6" s="85">
        <f t="shared" si="4"/>
        <v>44986</v>
      </c>
      <c r="AB6" s="85">
        <f t="shared" si="4"/>
        <v>45017</v>
      </c>
      <c r="AC6" s="85">
        <f t="shared" si="4"/>
        <v>45047</v>
      </c>
      <c r="AD6" s="85">
        <f t="shared" si="4"/>
        <v>45078</v>
      </c>
      <c r="AE6" s="85">
        <f t="shared" si="4"/>
        <v>45108</v>
      </c>
      <c r="AF6" s="85">
        <f t="shared" si="4"/>
        <v>45139</v>
      </c>
      <c r="AG6" s="85">
        <f t="shared" si="4"/>
        <v>45170</v>
      </c>
      <c r="AH6" s="85">
        <f t="shared" si="4"/>
        <v>45200</v>
      </c>
      <c r="AI6" s="85">
        <f t="shared" si="4"/>
        <v>45231</v>
      </c>
      <c r="AJ6" s="85">
        <f t="shared" si="4"/>
        <v>45261</v>
      </c>
      <c r="AK6" s="85">
        <f t="shared" si="4"/>
        <v>45292</v>
      </c>
      <c r="AL6" s="85">
        <f t="shared" si="4"/>
        <v>45323</v>
      </c>
      <c r="AM6" s="85">
        <f t="shared" si="4"/>
        <v>45352</v>
      </c>
      <c r="AN6" s="85">
        <f t="shared" si="4"/>
        <v>45383</v>
      </c>
      <c r="AO6" s="85">
        <f t="shared" si="4"/>
        <v>45413</v>
      </c>
      <c r="AP6" s="85">
        <f t="shared" si="4"/>
        <v>45444</v>
      </c>
      <c r="AQ6" s="85">
        <f t="shared" si="4"/>
        <v>45474</v>
      </c>
      <c r="AR6" s="85">
        <f t="shared" si="4"/>
        <v>45505</v>
      </c>
      <c r="AS6" s="85">
        <f t="shared" si="4"/>
        <v>45536</v>
      </c>
      <c r="AT6" s="85">
        <f t="shared" si="4"/>
        <v>45566</v>
      </c>
      <c r="AU6" s="85">
        <f t="shared" si="4"/>
        <v>45597</v>
      </c>
      <c r="AV6" s="85">
        <f t="shared" si="4"/>
        <v>45627</v>
      </c>
      <c r="AW6" s="85">
        <f t="shared" si="4"/>
        <v>45658</v>
      </c>
      <c r="AX6" s="85">
        <f t="shared" si="4"/>
        <v>45689</v>
      </c>
      <c r="AY6" s="85">
        <f t="shared" si="4"/>
        <v>45717</v>
      </c>
      <c r="AZ6" s="85">
        <f t="shared" si="4"/>
        <v>45748</v>
      </c>
      <c r="BA6" s="85">
        <f t="shared" si="4"/>
        <v>45778</v>
      </c>
      <c r="BB6" s="85">
        <f t="shared" si="4"/>
        <v>45809</v>
      </c>
      <c r="BC6" s="85">
        <f t="shared" si="4"/>
        <v>45839</v>
      </c>
      <c r="BD6" s="85">
        <f t="shared" si="4"/>
        <v>45870</v>
      </c>
      <c r="BE6" s="85">
        <f t="shared" si="4"/>
        <v>45901</v>
      </c>
      <c r="BF6" s="85">
        <f t="shared" si="4"/>
        <v>45931</v>
      </c>
      <c r="BG6" s="85">
        <f t="shared" si="4"/>
        <v>45962</v>
      </c>
      <c r="BH6" s="85">
        <f t="shared" si="4"/>
        <v>45992</v>
      </c>
      <c r="BI6" s="85">
        <f t="shared" si="4"/>
        <v>46023</v>
      </c>
      <c r="BJ6" s="85">
        <f t="shared" si="4"/>
        <v>46054</v>
      </c>
      <c r="BK6" s="85">
        <f t="shared" si="4"/>
        <v>46082</v>
      </c>
      <c r="BL6" s="85">
        <f t="shared" si="4"/>
        <v>46113</v>
      </c>
      <c r="BM6" s="85">
        <f t="shared" si="4"/>
        <v>46143</v>
      </c>
      <c r="BN6" s="85">
        <f t="shared" si="4"/>
        <v>46174</v>
      </c>
      <c r="BO6" s="85">
        <f t="shared" si="4"/>
        <v>46204</v>
      </c>
      <c r="BP6" s="85">
        <f t="shared" si="4"/>
        <v>46235</v>
      </c>
      <c r="BQ6" s="85">
        <f t="shared" si="4"/>
        <v>46266</v>
      </c>
      <c r="BR6" s="85">
        <f t="shared" si="4"/>
        <v>46296</v>
      </c>
      <c r="BS6" s="85">
        <f t="shared" si="4"/>
        <v>46327</v>
      </c>
      <c r="BT6" s="85">
        <f t="shared" si="4"/>
        <v>46357</v>
      </c>
      <c r="BU6" s="86"/>
    </row>
    <row r="7" hidden="1" outlineLevel="1">
      <c r="A7" s="20"/>
      <c r="B7" s="20"/>
      <c r="C7" s="20"/>
      <c r="D7" s="20"/>
      <c r="E7" s="20"/>
      <c r="F7" s="215" t="s">
        <v>91</v>
      </c>
      <c r="G7" s="88">
        <f>'Key Assumptions'!D13</f>
        <v>44562</v>
      </c>
      <c r="H7" s="89">
        <f t="shared" ref="H7:K7" si="5">G8+1</f>
        <v>44927</v>
      </c>
      <c r="I7" s="89">
        <f t="shared" si="5"/>
        <v>45292</v>
      </c>
      <c r="J7" s="89">
        <f t="shared" si="5"/>
        <v>45658</v>
      </c>
      <c r="K7" s="89">
        <f t="shared" si="5"/>
        <v>46023</v>
      </c>
      <c r="L7" s="20"/>
      <c r="M7" s="88">
        <f>'Key Assumptions'!D13</f>
        <v>44562</v>
      </c>
      <c r="N7" s="89">
        <f t="shared" ref="N7:BT7" si="6">M8+1</f>
        <v>44593</v>
      </c>
      <c r="O7" s="89">
        <f t="shared" si="6"/>
        <v>44621</v>
      </c>
      <c r="P7" s="89">
        <f t="shared" si="6"/>
        <v>44652</v>
      </c>
      <c r="Q7" s="89">
        <f t="shared" si="6"/>
        <v>44682</v>
      </c>
      <c r="R7" s="89">
        <f t="shared" si="6"/>
        <v>44713</v>
      </c>
      <c r="S7" s="89">
        <f t="shared" si="6"/>
        <v>44743</v>
      </c>
      <c r="T7" s="89">
        <f t="shared" si="6"/>
        <v>44774</v>
      </c>
      <c r="U7" s="89">
        <f t="shared" si="6"/>
        <v>44805</v>
      </c>
      <c r="V7" s="89">
        <f t="shared" si="6"/>
        <v>44835</v>
      </c>
      <c r="W7" s="89">
        <f t="shared" si="6"/>
        <v>44866</v>
      </c>
      <c r="X7" s="89">
        <f t="shared" si="6"/>
        <v>44896</v>
      </c>
      <c r="Y7" s="89">
        <f t="shared" si="6"/>
        <v>44927</v>
      </c>
      <c r="Z7" s="89">
        <f t="shared" si="6"/>
        <v>44958</v>
      </c>
      <c r="AA7" s="89">
        <f t="shared" si="6"/>
        <v>44986</v>
      </c>
      <c r="AB7" s="89">
        <f t="shared" si="6"/>
        <v>45017</v>
      </c>
      <c r="AC7" s="89">
        <f t="shared" si="6"/>
        <v>45047</v>
      </c>
      <c r="AD7" s="89">
        <f t="shared" si="6"/>
        <v>45078</v>
      </c>
      <c r="AE7" s="89">
        <f t="shared" si="6"/>
        <v>45108</v>
      </c>
      <c r="AF7" s="89">
        <f t="shared" si="6"/>
        <v>45139</v>
      </c>
      <c r="AG7" s="89">
        <f t="shared" si="6"/>
        <v>45170</v>
      </c>
      <c r="AH7" s="89">
        <f t="shared" si="6"/>
        <v>45200</v>
      </c>
      <c r="AI7" s="89">
        <f t="shared" si="6"/>
        <v>45231</v>
      </c>
      <c r="AJ7" s="89">
        <f t="shared" si="6"/>
        <v>45261</v>
      </c>
      <c r="AK7" s="89">
        <f t="shared" si="6"/>
        <v>45292</v>
      </c>
      <c r="AL7" s="89">
        <f t="shared" si="6"/>
        <v>45323</v>
      </c>
      <c r="AM7" s="89">
        <f t="shared" si="6"/>
        <v>45352</v>
      </c>
      <c r="AN7" s="89">
        <f t="shared" si="6"/>
        <v>45383</v>
      </c>
      <c r="AO7" s="89">
        <f t="shared" si="6"/>
        <v>45413</v>
      </c>
      <c r="AP7" s="89">
        <f t="shared" si="6"/>
        <v>45444</v>
      </c>
      <c r="AQ7" s="89">
        <f t="shared" si="6"/>
        <v>45474</v>
      </c>
      <c r="AR7" s="89">
        <f t="shared" si="6"/>
        <v>45505</v>
      </c>
      <c r="AS7" s="89">
        <f t="shared" si="6"/>
        <v>45536</v>
      </c>
      <c r="AT7" s="89">
        <f t="shared" si="6"/>
        <v>45566</v>
      </c>
      <c r="AU7" s="89">
        <f t="shared" si="6"/>
        <v>45597</v>
      </c>
      <c r="AV7" s="89">
        <f t="shared" si="6"/>
        <v>45627</v>
      </c>
      <c r="AW7" s="89">
        <f t="shared" si="6"/>
        <v>45658</v>
      </c>
      <c r="AX7" s="89">
        <f t="shared" si="6"/>
        <v>45689</v>
      </c>
      <c r="AY7" s="89">
        <f t="shared" si="6"/>
        <v>45717</v>
      </c>
      <c r="AZ7" s="89">
        <f t="shared" si="6"/>
        <v>45748</v>
      </c>
      <c r="BA7" s="89">
        <f t="shared" si="6"/>
        <v>45778</v>
      </c>
      <c r="BB7" s="89">
        <f t="shared" si="6"/>
        <v>45809</v>
      </c>
      <c r="BC7" s="89">
        <f t="shared" si="6"/>
        <v>45839</v>
      </c>
      <c r="BD7" s="89">
        <f t="shared" si="6"/>
        <v>45870</v>
      </c>
      <c r="BE7" s="89">
        <f t="shared" si="6"/>
        <v>45901</v>
      </c>
      <c r="BF7" s="89">
        <f t="shared" si="6"/>
        <v>45931</v>
      </c>
      <c r="BG7" s="89">
        <f t="shared" si="6"/>
        <v>45962</v>
      </c>
      <c r="BH7" s="89">
        <f t="shared" si="6"/>
        <v>45992</v>
      </c>
      <c r="BI7" s="89">
        <f t="shared" si="6"/>
        <v>46023</v>
      </c>
      <c r="BJ7" s="89">
        <f t="shared" si="6"/>
        <v>46054</v>
      </c>
      <c r="BK7" s="89">
        <f t="shared" si="6"/>
        <v>46082</v>
      </c>
      <c r="BL7" s="89">
        <f t="shared" si="6"/>
        <v>46113</v>
      </c>
      <c r="BM7" s="89">
        <f t="shared" si="6"/>
        <v>46143</v>
      </c>
      <c r="BN7" s="89">
        <f t="shared" si="6"/>
        <v>46174</v>
      </c>
      <c r="BO7" s="89">
        <f t="shared" si="6"/>
        <v>46204</v>
      </c>
      <c r="BP7" s="89">
        <f t="shared" si="6"/>
        <v>46235</v>
      </c>
      <c r="BQ7" s="89">
        <f t="shared" si="6"/>
        <v>46266</v>
      </c>
      <c r="BR7" s="89">
        <f t="shared" si="6"/>
        <v>46296</v>
      </c>
      <c r="BS7" s="89">
        <f t="shared" si="6"/>
        <v>46327</v>
      </c>
      <c r="BT7" s="89">
        <f t="shared" si="6"/>
        <v>46357</v>
      </c>
      <c r="BU7" s="20"/>
    </row>
    <row r="8" hidden="1" outlineLevel="1">
      <c r="A8" s="20"/>
      <c r="B8" s="20"/>
      <c r="C8" s="20"/>
      <c r="D8" s="20"/>
      <c r="E8" s="20"/>
      <c r="F8" s="215" t="s">
        <v>92</v>
      </c>
      <c r="G8" s="92">
        <f t="shared" ref="G8:K8" si="7">EOMONTH(G7,11)</f>
        <v>44926</v>
      </c>
      <c r="H8" s="92">
        <f t="shared" si="7"/>
        <v>45291</v>
      </c>
      <c r="I8" s="92">
        <f t="shared" si="7"/>
        <v>45657</v>
      </c>
      <c r="J8" s="92">
        <f t="shared" si="7"/>
        <v>46022</v>
      </c>
      <c r="K8" s="92">
        <f t="shared" si="7"/>
        <v>46387</v>
      </c>
      <c r="L8" s="20"/>
      <c r="M8" s="92">
        <f t="shared" ref="M8:BT8" si="8">EOMONTH(M7,0)</f>
        <v>44592</v>
      </c>
      <c r="N8" s="92">
        <f t="shared" si="8"/>
        <v>44620</v>
      </c>
      <c r="O8" s="92">
        <f t="shared" si="8"/>
        <v>44651</v>
      </c>
      <c r="P8" s="92">
        <f t="shared" si="8"/>
        <v>44681</v>
      </c>
      <c r="Q8" s="92">
        <f t="shared" si="8"/>
        <v>44712</v>
      </c>
      <c r="R8" s="92">
        <f t="shared" si="8"/>
        <v>44742</v>
      </c>
      <c r="S8" s="92">
        <f t="shared" si="8"/>
        <v>44773</v>
      </c>
      <c r="T8" s="92">
        <f t="shared" si="8"/>
        <v>44804</v>
      </c>
      <c r="U8" s="92">
        <f t="shared" si="8"/>
        <v>44834</v>
      </c>
      <c r="V8" s="92">
        <f t="shared" si="8"/>
        <v>44865</v>
      </c>
      <c r="W8" s="92">
        <f t="shared" si="8"/>
        <v>44895</v>
      </c>
      <c r="X8" s="92">
        <f t="shared" si="8"/>
        <v>44926</v>
      </c>
      <c r="Y8" s="92">
        <f t="shared" si="8"/>
        <v>44957</v>
      </c>
      <c r="Z8" s="92">
        <f t="shared" si="8"/>
        <v>44985</v>
      </c>
      <c r="AA8" s="92">
        <f t="shared" si="8"/>
        <v>45016</v>
      </c>
      <c r="AB8" s="92">
        <f t="shared" si="8"/>
        <v>45046</v>
      </c>
      <c r="AC8" s="92">
        <f t="shared" si="8"/>
        <v>45077</v>
      </c>
      <c r="AD8" s="92">
        <f t="shared" si="8"/>
        <v>45107</v>
      </c>
      <c r="AE8" s="92">
        <f t="shared" si="8"/>
        <v>45138</v>
      </c>
      <c r="AF8" s="92">
        <f t="shared" si="8"/>
        <v>45169</v>
      </c>
      <c r="AG8" s="92">
        <f t="shared" si="8"/>
        <v>45199</v>
      </c>
      <c r="AH8" s="92">
        <f t="shared" si="8"/>
        <v>45230</v>
      </c>
      <c r="AI8" s="92">
        <f t="shared" si="8"/>
        <v>45260</v>
      </c>
      <c r="AJ8" s="92">
        <f t="shared" si="8"/>
        <v>45291</v>
      </c>
      <c r="AK8" s="92">
        <f t="shared" si="8"/>
        <v>45322</v>
      </c>
      <c r="AL8" s="92">
        <f t="shared" si="8"/>
        <v>45351</v>
      </c>
      <c r="AM8" s="92">
        <f t="shared" si="8"/>
        <v>45382</v>
      </c>
      <c r="AN8" s="92">
        <f t="shared" si="8"/>
        <v>45412</v>
      </c>
      <c r="AO8" s="92">
        <f t="shared" si="8"/>
        <v>45443</v>
      </c>
      <c r="AP8" s="92">
        <f t="shared" si="8"/>
        <v>45473</v>
      </c>
      <c r="AQ8" s="92">
        <f t="shared" si="8"/>
        <v>45504</v>
      </c>
      <c r="AR8" s="92">
        <f t="shared" si="8"/>
        <v>45535</v>
      </c>
      <c r="AS8" s="92">
        <f t="shared" si="8"/>
        <v>45565</v>
      </c>
      <c r="AT8" s="92">
        <f t="shared" si="8"/>
        <v>45596</v>
      </c>
      <c r="AU8" s="92">
        <f t="shared" si="8"/>
        <v>45626</v>
      </c>
      <c r="AV8" s="92">
        <f t="shared" si="8"/>
        <v>45657</v>
      </c>
      <c r="AW8" s="92">
        <f t="shared" si="8"/>
        <v>45688</v>
      </c>
      <c r="AX8" s="92">
        <f t="shared" si="8"/>
        <v>45716</v>
      </c>
      <c r="AY8" s="92">
        <f t="shared" si="8"/>
        <v>45747</v>
      </c>
      <c r="AZ8" s="92">
        <f t="shared" si="8"/>
        <v>45777</v>
      </c>
      <c r="BA8" s="92">
        <f t="shared" si="8"/>
        <v>45808</v>
      </c>
      <c r="BB8" s="92">
        <f t="shared" si="8"/>
        <v>45838</v>
      </c>
      <c r="BC8" s="92">
        <f t="shared" si="8"/>
        <v>45869</v>
      </c>
      <c r="BD8" s="92">
        <f t="shared" si="8"/>
        <v>45900</v>
      </c>
      <c r="BE8" s="92">
        <f t="shared" si="8"/>
        <v>45930</v>
      </c>
      <c r="BF8" s="92">
        <f t="shared" si="8"/>
        <v>45961</v>
      </c>
      <c r="BG8" s="92">
        <f t="shared" si="8"/>
        <v>45991</v>
      </c>
      <c r="BH8" s="92">
        <f t="shared" si="8"/>
        <v>46022</v>
      </c>
      <c r="BI8" s="92">
        <f t="shared" si="8"/>
        <v>46053</v>
      </c>
      <c r="BJ8" s="92">
        <f t="shared" si="8"/>
        <v>46081</v>
      </c>
      <c r="BK8" s="92">
        <f t="shared" si="8"/>
        <v>46112</v>
      </c>
      <c r="BL8" s="92">
        <f t="shared" si="8"/>
        <v>46142</v>
      </c>
      <c r="BM8" s="92">
        <f t="shared" si="8"/>
        <v>46173</v>
      </c>
      <c r="BN8" s="92">
        <f t="shared" si="8"/>
        <v>46203</v>
      </c>
      <c r="BO8" s="92">
        <f t="shared" si="8"/>
        <v>46234</v>
      </c>
      <c r="BP8" s="92">
        <f t="shared" si="8"/>
        <v>46265</v>
      </c>
      <c r="BQ8" s="92">
        <f t="shared" si="8"/>
        <v>46295</v>
      </c>
      <c r="BR8" s="92">
        <f t="shared" si="8"/>
        <v>46326</v>
      </c>
      <c r="BS8" s="92">
        <f t="shared" si="8"/>
        <v>46356</v>
      </c>
      <c r="BT8" s="92">
        <f t="shared" si="8"/>
        <v>46387</v>
      </c>
      <c r="BU8" s="20"/>
    </row>
    <row r="9">
      <c r="A9" s="20"/>
      <c r="B9" s="20"/>
      <c r="C9" s="20"/>
      <c r="D9" s="20"/>
      <c r="E9" s="20"/>
      <c r="F9" s="215" t="s">
        <v>25</v>
      </c>
      <c r="G9" s="93" t="str">
        <f t="shared" ref="G9:K9" si="9">IF(G8-G7&gt;35,"Annual","Monthly")</f>
        <v>Annual</v>
      </c>
      <c r="H9" s="93" t="str">
        <f t="shared" si="9"/>
        <v>Annual</v>
      </c>
      <c r="I9" s="93" t="str">
        <f t="shared" si="9"/>
        <v>Annual</v>
      </c>
      <c r="J9" s="93" t="str">
        <f t="shared" si="9"/>
        <v>Annual</v>
      </c>
      <c r="K9" s="93" t="str">
        <f t="shared" si="9"/>
        <v>Annual</v>
      </c>
      <c r="L9" s="90"/>
      <c r="M9" s="93" t="str">
        <f t="shared" ref="M9:BT9" si="10">IF(M8-M7&gt;35,"Annual","Monthly")</f>
        <v>Monthly</v>
      </c>
      <c r="N9" s="93" t="str">
        <f t="shared" si="10"/>
        <v>Monthly</v>
      </c>
      <c r="O9" s="93" t="str">
        <f t="shared" si="10"/>
        <v>Monthly</v>
      </c>
      <c r="P9" s="93" t="str">
        <f t="shared" si="10"/>
        <v>Monthly</v>
      </c>
      <c r="Q9" s="93" t="str">
        <f t="shared" si="10"/>
        <v>Monthly</v>
      </c>
      <c r="R9" s="93" t="str">
        <f t="shared" si="10"/>
        <v>Monthly</v>
      </c>
      <c r="S9" s="93" t="str">
        <f t="shared" si="10"/>
        <v>Monthly</v>
      </c>
      <c r="T9" s="93" t="str">
        <f t="shared" si="10"/>
        <v>Monthly</v>
      </c>
      <c r="U9" s="93" t="str">
        <f t="shared" si="10"/>
        <v>Monthly</v>
      </c>
      <c r="V9" s="93" t="str">
        <f t="shared" si="10"/>
        <v>Monthly</v>
      </c>
      <c r="W9" s="93" t="str">
        <f t="shared" si="10"/>
        <v>Monthly</v>
      </c>
      <c r="X9" s="93" t="str">
        <f t="shared" si="10"/>
        <v>Monthly</v>
      </c>
      <c r="Y9" s="93" t="str">
        <f t="shared" si="10"/>
        <v>Monthly</v>
      </c>
      <c r="Z9" s="93" t="str">
        <f t="shared" si="10"/>
        <v>Monthly</v>
      </c>
      <c r="AA9" s="93" t="str">
        <f t="shared" si="10"/>
        <v>Monthly</v>
      </c>
      <c r="AB9" s="93" t="str">
        <f t="shared" si="10"/>
        <v>Monthly</v>
      </c>
      <c r="AC9" s="93" t="str">
        <f t="shared" si="10"/>
        <v>Monthly</v>
      </c>
      <c r="AD9" s="93" t="str">
        <f t="shared" si="10"/>
        <v>Monthly</v>
      </c>
      <c r="AE9" s="93" t="str">
        <f t="shared" si="10"/>
        <v>Monthly</v>
      </c>
      <c r="AF9" s="93" t="str">
        <f t="shared" si="10"/>
        <v>Monthly</v>
      </c>
      <c r="AG9" s="93" t="str">
        <f t="shared" si="10"/>
        <v>Monthly</v>
      </c>
      <c r="AH9" s="93" t="str">
        <f t="shared" si="10"/>
        <v>Monthly</v>
      </c>
      <c r="AI9" s="93" t="str">
        <f t="shared" si="10"/>
        <v>Monthly</v>
      </c>
      <c r="AJ9" s="93" t="str">
        <f t="shared" si="10"/>
        <v>Monthly</v>
      </c>
      <c r="AK9" s="93" t="str">
        <f t="shared" si="10"/>
        <v>Monthly</v>
      </c>
      <c r="AL9" s="93" t="str">
        <f t="shared" si="10"/>
        <v>Monthly</v>
      </c>
      <c r="AM9" s="93" t="str">
        <f t="shared" si="10"/>
        <v>Monthly</v>
      </c>
      <c r="AN9" s="93" t="str">
        <f t="shared" si="10"/>
        <v>Monthly</v>
      </c>
      <c r="AO9" s="93" t="str">
        <f t="shared" si="10"/>
        <v>Monthly</v>
      </c>
      <c r="AP9" s="93" t="str">
        <f t="shared" si="10"/>
        <v>Monthly</v>
      </c>
      <c r="AQ9" s="93" t="str">
        <f t="shared" si="10"/>
        <v>Monthly</v>
      </c>
      <c r="AR9" s="93" t="str">
        <f t="shared" si="10"/>
        <v>Monthly</v>
      </c>
      <c r="AS9" s="93" t="str">
        <f t="shared" si="10"/>
        <v>Monthly</v>
      </c>
      <c r="AT9" s="93" t="str">
        <f t="shared" si="10"/>
        <v>Monthly</v>
      </c>
      <c r="AU9" s="93" t="str">
        <f t="shared" si="10"/>
        <v>Monthly</v>
      </c>
      <c r="AV9" s="93" t="str">
        <f t="shared" si="10"/>
        <v>Monthly</v>
      </c>
      <c r="AW9" s="93" t="str">
        <f t="shared" si="10"/>
        <v>Monthly</v>
      </c>
      <c r="AX9" s="93" t="str">
        <f t="shared" si="10"/>
        <v>Monthly</v>
      </c>
      <c r="AY9" s="93" t="str">
        <f t="shared" si="10"/>
        <v>Monthly</v>
      </c>
      <c r="AZ9" s="93" t="str">
        <f t="shared" si="10"/>
        <v>Monthly</v>
      </c>
      <c r="BA9" s="93" t="str">
        <f t="shared" si="10"/>
        <v>Monthly</v>
      </c>
      <c r="BB9" s="93" t="str">
        <f t="shared" si="10"/>
        <v>Monthly</v>
      </c>
      <c r="BC9" s="93" t="str">
        <f t="shared" si="10"/>
        <v>Monthly</v>
      </c>
      <c r="BD9" s="93" t="str">
        <f t="shared" si="10"/>
        <v>Monthly</v>
      </c>
      <c r="BE9" s="93" t="str">
        <f t="shared" si="10"/>
        <v>Monthly</v>
      </c>
      <c r="BF9" s="93" t="str">
        <f t="shared" si="10"/>
        <v>Monthly</v>
      </c>
      <c r="BG9" s="93" t="str">
        <f t="shared" si="10"/>
        <v>Monthly</v>
      </c>
      <c r="BH9" s="93" t="str">
        <f t="shared" si="10"/>
        <v>Monthly</v>
      </c>
      <c r="BI9" s="93" t="str">
        <f t="shared" si="10"/>
        <v>Monthly</v>
      </c>
      <c r="BJ9" s="93" t="str">
        <f t="shared" si="10"/>
        <v>Monthly</v>
      </c>
      <c r="BK9" s="93" t="str">
        <f t="shared" si="10"/>
        <v>Monthly</v>
      </c>
      <c r="BL9" s="93" t="str">
        <f t="shared" si="10"/>
        <v>Monthly</v>
      </c>
      <c r="BM9" s="93" t="str">
        <f t="shared" si="10"/>
        <v>Monthly</v>
      </c>
      <c r="BN9" s="93" t="str">
        <f t="shared" si="10"/>
        <v>Monthly</v>
      </c>
      <c r="BO9" s="93" t="str">
        <f t="shared" si="10"/>
        <v>Monthly</v>
      </c>
      <c r="BP9" s="93" t="str">
        <f t="shared" si="10"/>
        <v>Monthly</v>
      </c>
      <c r="BQ9" s="93" t="str">
        <f t="shared" si="10"/>
        <v>Monthly</v>
      </c>
      <c r="BR9" s="93" t="str">
        <f t="shared" si="10"/>
        <v>Monthly</v>
      </c>
      <c r="BS9" s="93" t="str">
        <f t="shared" si="10"/>
        <v>Monthly</v>
      </c>
      <c r="BT9" s="93" t="str">
        <f t="shared" si="10"/>
        <v>Monthly</v>
      </c>
      <c r="BU9" s="20"/>
    </row>
    <row r="10">
      <c r="A10" s="20"/>
      <c r="B10" s="20"/>
      <c r="C10" s="20"/>
      <c r="D10" s="20"/>
      <c r="E10" s="20"/>
      <c r="F10" s="215" t="s">
        <v>26</v>
      </c>
      <c r="G10" s="93">
        <f t="shared" ref="G10:K10" si="11">YEAR(G7)</f>
        <v>2022</v>
      </c>
      <c r="H10" s="93">
        <f t="shared" si="11"/>
        <v>2023</v>
      </c>
      <c r="I10" s="93">
        <f t="shared" si="11"/>
        <v>2024</v>
      </c>
      <c r="J10" s="93">
        <f t="shared" si="11"/>
        <v>2025</v>
      </c>
      <c r="K10" s="93">
        <f t="shared" si="11"/>
        <v>2026</v>
      </c>
      <c r="L10" s="90"/>
      <c r="M10" s="93">
        <f t="shared" ref="M10:BT10" si="12">YEAR(M7)</f>
        <v>2022</v>
      </c>
      <c r="N10" s="93">
        <f t="shared" si="12"/>
        <v>2022</v>
      </c>
      <c r="O10" s="93">
        <f t="shared" si="12"/>
        <v>2022</v>
      </c>
      <c r="P10" s="93">
        <f t="shared" si="12"/>
        <v>2022</v>
      </c>
      <c r="Q10" s="93">
        <f t="shared" si="12"/>
        <v>2022</v>
      </c>
      <c r="R10" s="93">
        <f t="shared" si="12"/>
        <v>2022</v>
      </c>
      <c r="S10" s="93">
        <f t="shared" si="12"/>
        <v>2022</v>
      </c>
      <c r="T10" s="93">
        <f t="shared" si="12"/>
        <v>2022</v>
      </c>
      <c r="U10" s="93">
        <f t="shared" si="12"/>
        <v>2022</v>
      </c>
      <c r="V10" s="93">
        <f t="shared" si="12"/>
        <v>2022</v>
      </c>
      <c r="W10" s="93">
        <f t="shared" si="12"/>
        <v>2022</v>
      </c>
      <c r="X10" s="93">
        <f t="shared" si="12"/>
        <v>2022</v>
      </c>
      <c r="Y10" s="93">
        <f t="shared" si="12"/>
        <v>2023</v>
      </c>
      <c r="Z10" s="93">
        <f t="shared" si="12"/>
        <v>2023</v>
      </c>
      <c r="AA10" s="93">
        <f t="shared" si="12"/>
        <v>2023</v>
      </c>
      <c r="AB10" s="93">
        <f t="shared" si="12"/>
        <v>2023</v>
      </c>
      <c r="AC10" s="93">
        <f t="shared" si="12"/>
        <v>2023</v>
      </c>
      <c r="AD10" s="93">
        <f t="shared" si="12"/>
        <v>2023</v>
      </c>
      <c r="AE10" s="93">
        <f t="shared" si="12"/>
        <v>2023</v>
      </c>
      <c r="AF10" s="93">
        <f t="shared" si="12"/>
        <v>2023</v>
      </c>
      <c r="AG10" s="93">
        <f t="shared" si="12"/>
        <v>2023</v>
      </c>
      <c r="AH10" s="93">
        <f t="shared" si="12"/>
        <v>2023</v>
      </c>
      <c r="AI10" s="93">
        <f t="shared" si="12"/>
        <v>2023</v>
      </c>
      <c r="AJ10" s="93">
        <f t="shared" si="12"/>
        <v>2023</v>
      </c>
      <c r="AK10" s="93">
        <f t="shared" si="12"/>
        <v>2024</v>
      </c>
      <c r="AL10" s="93">
        <f t="shared" si="12"/>
        <v>2024</v>
      </c>
      <c r="AM10" s="93">
        <f t="shared" si="12"/>
        <v>2024</v>
      </c>
      <c r="AN10" s="93">
        <f t="shared" si="12"/>
        <v>2024</v>
      </c>
      <c r="AO10" s="93">
        <f t="shared" si="12"/>
        <v>2024</v>
      </c>
      <c r="AP10" s="93">
        <f t="shared" si="12"/>
        <v>2024</v>
      </c>
      <c r="AQ10" s="93">
        <f t="shared" si="12"/>
        <v>2024</v>
      </c>
      <c r="AR10" s="93">
        <f t="shared" si="12"/>
        <v>2024</v>
      </c>
      <c r="AS10" s="93">
        <f t="shared" si="12"/>
        <v>2024</v>
      </c>
      <c r="AT10" s="93">
        <f t="shared" si="12"/>
        <v>2024</v>
      </c>
      <c r="AU10" s="93">
        <f t="shared" si="12"/>
        <v>2024</v>
      </c>
      <c r="AV10" s="93">
        <f t="shared" si="12"/>
        <v>2024</v>
      </c>
      <c r="AW10" s="93">
        <f t="shared" si="12"/>
        <v>2025</v>
      </c>
      <c r="AX10" s="93">
        <f t="shared" si="12"/>
        <v>2025</v>
      </c>
      <c r="AY10" s="93">
        <f t="shared" si="12"/>
        <v>2025</v>
      </c>
      <c r="AZ10" s="93">
        <f t="shared" si="12"/>
        <v>2025</v>
      </c>
      <c r="BA10" s="93">
        <f t="shared" si="12"/>
        <v>2025</v>
      </c>
      <c r="BB10" s="93">
        <f t="shared" si="12"/>
        <v>2025</v>
      </c>
      <c r="BC10" s="93">
        <f t="shared" si="12"/>
        <v>2025</v>
      </c>
      <c r="BD10" s="93">
        <f t="shared" si="12"/>
        <v>2025</v>
      </c>
      <c r="BE10" s="93">
        <f t="shared" si="12"/>
        <v>2025</v>
      </c>
      <c r="BF10" s="93">
        <f t="shared" si="12"/>
        <v>2025</v>
      </c>
      <c r="BG10" s="93">
        <f t="shared" si="12"/>
        <v>2025</v>
      </c>
      <c r="BH10" s="93">
        <f t="shared" si="12"/>
        <v>2025</v>
      </c>
      <c r="BI10" s="93">
        <f t="shared" si="12"/>
        <v>2026</v>
      </c>
      <c r="BJ10" s="93">
        <f t="shared" si="12"/>
        <v>2026</v>
      </c>
      <c r="BK10" s="93">
        <f t="shared" si="12"/>
        <v>2026</v>
      </c>
      <c r="BL10" s="93">
        <f t="shared" si="12"/>
        <v>2026</v>
      </c>
      <c r="BM10" s="93">
        <f t="shared" si="12"/>
        <v>2026</v>
      </c>
      <c r="BN10" s="93">
        <f t="shared" si="12"/>
        <v>2026</v>
      </c>
      <c r="BO10" s="93">
        <f t="shared" si="12"/>
        <v>2026</v>
      </c>
      <c r="BP10" s="93">
        <f t="shared" si="12"/>
        <v>2026</v>
      </c>
      <c r="BQ10" s="93">
        <f t="shared" si="12"/>
        <v>2026</v>
      </c>
      <c r="BR10" s="93">
        <f t="shared" si="12"/>
        <v>2026</v>
      </c>
      <c r="BS10" s="93">
        <f t="shared" si="12"/>
        <v>2026</v>
      </c>
      <c r="BT10" s="93">
        <f t="shared" si="12"/>
        <v>2026</v>
      </c>
      <c r="BU10" s="20"/>
    </row>
    <row r="11" collapsed="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c r="BU11" s="20"/>
    </row>
    <row r="12" hidden="1" outlineLevel="1">
      <c r="A12" s="20"/>
      <c r="B12" s="20"/>
      <c r="C12" s="20"/>
      <c r="D12" s="20"/>
      <c r="E12" s="20"/>
      <c r="F12" s="94" t="s">
        <v>27</v>
      </c>
      <c r="G12" s="95"/>
      <c r="H12" s="95"/>
      <c r="I12" s="95"/>
      <c r="J12" s="95"/>
      <c r="K12" s="95"/>
      <c r="L12" s="96"/>
      <c r="M12" s="95"/>
      <c r="N12" s="95"/>
      <c r="O12" s="95"/>
      <c r="P12" s="95"/>
      <c r="Q12" s="95"/>
      <c r="R12" s="95"/>
      <c r="S12" s="95"/>
      <c r="T12" s="95"/>
      <c r="U12" s="95"/>
      <c r="V12" s="9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5"/>
      <c r="AW12" s="95"/>
      <c r="AX12" s="95"/>
      <c r="AY12" s="95"/>
      <c r="AZ12" s="95"/>
      <c r="BA12" s="95"/>
      <c r="BB12" s="95"/>
      <c r="BC12" s="95"/>
      <c r="BD12" s="95"/>
      <c r="BE12" s="95"/>
      <c r="BF12" s="95"/>
      <c r="BG12" s="95"/>
      <c r="BH12" s="95"/>
      <c r="BI12" s="95"/>
      <c r="BJ12" s="95"/>
      <c r="BK12" s="95"/>
      <c r="BL12" s="95"/>
      <c r="BM12" s="95"/>
      <c r="BN12" s="95"/>
      <c r="BO12" s="95"/>
      <c r="BP12" s="95"/>
      <c r="BQ12" s="95"/>
      <c r="BR12" s="95"/>
      <c r="BS12" s="95"/>
      <c r="BT12" s="95"/>
      <c r="BU12" s="20"/>
    </row>
    <row r="13" hidden="1" outlineLevel="1">
      <c r="A13" s="20"/>
      <c r="B13" s="20"/>
      <c r="C13" s="20"/>
      <c r="D13" s="20"/>
      <c r="E13" s="20"/>
      <c r="F13" s="87" t="s">
        <v>28</v>
      </c>
      <c r="G13" s="97">
        <f>IF(AND(G7&gt;='Key Assumptions'!$D$13,G7&lt;'Key Assumptions'!$D$14),1,0)</f>
        <v>1</v>
      </c>
      <c r="H13" s="97">
        <f>IF(AND(H7&gt;='Key Assumptions'!$D$13,H7&lt;'Key Assumptions'!$D$14),1,0)</f>
        <v>1</v>
      </c>
      <c r="I13" s="97">
        <f>IF(AND(I7&gt;='Key Assumptions'!$D$13,I7&lt;'Key Assumptions'!$D$14),1,0)</f>
        <v>0</v>
      </c>
      <c r="J13" s="97">
        <f>IF(AND(J7&gt;='Key Assumptions'!$D$13,J7&lt;'Key Assumptions'!$D$14),1,0)</f>
        <v>0</v>
      </c>
      <c r="K13" s="97">
        <f>IF(AND(K7&gt;='Key Assumptions'!$D$13,K7&lt;'Key Assumptions'!$D$14),1,0)</f>
        <v>0</v>
      </c>
      <c r="L13" s="98"/>
      <c r="M13" s="97">
        <f>IF(AND(M7&gt;='Key Assumptions'!$D$13,M7&lt;'Key Assumptions'!$D$14),1,0)</f>
        <v>1</v>
      </c>
      <c r="N13" s="97">
        <f>IF(AND(N7&gt;='Key Assumptions'!$D$13,N7&lt;'Key Assumptions'!$D$14),1,0)</f>
        <v>1</v>
      </c>
      <c r="O13" s="97">
        <f>IF(AND(O7&gt;='Key Assumptions'!$D$13,O7&lt;'Key Assumptions'!$D$14),1,0)</f>
        <v>1</v>
      </c>
      <c r="P13" s="97">
        <f>IF(AND(P7&gt;='Key Assumptions'!$D$13,P7&lt;'Key Assumptions'!$D$14),1,0)</f>
        <v>1</v>
      </c>
      <c r="Q13" s="97">
        <f>IF(AND(Q7&gt;='Key Assumptions'!$D$13,Q7&lt;'Key Assumptions'!$D$14),1,0)</f>
        <v>1</v>
      </c>
      <c r="R13" s="97">
        <f>IF(AND(R7&gt;='Key Assumptions'!$D$13,R7&lt;'Key Assumptions'!$D$14),1,0)</f>
        <v>1</v>
      </c>
      <c r="S13" s="97">
        <f>IF(AND(S7&gt;='Key Assumptions'!$D$13,S7&lt;'Key Assumptions'!$D$14),1,0)</f>
        <v>1</v>
      </c>
      <c r="T13" s="97">
        <f>IF(AND(T7&gt;='Key Assumptions'!$D$13,T7&lt;'Key Assumptions'!$D$14),1,0)</f>
        <v>1</v>
      </c>
      <c r="U13" s="97">
        <f>IF(AND(U7&gt;='Key Assumptions'!$D$13,U7&lt;'Key Assumptions'!$D$14),1,0)</f>
        <v>1</v>
      </c>
      <c r="V13" s="97">
        <f>IF(AND(V7&gt;='Key Assumptions'!$D$13,V7&lt;'Key Assumptions'!$D$14),1,0)</f>
        <v>1</v>
      </c>
      <c r="W13" s="97">
        <f>IF(AND(W7&gt;='Key Assumptions'!$D$13,W7&lt;'Key Assumptions'!$D$14),1,0)</f>
        <v>1</v>
      </c>
      <c r="X13" s="97">
        <f>IF(AND(X7&gt;='Key Assumptions'!$D$13,X7&lt;'Key Assumptions'!$D$14),1,0)</f>
        <v>1</v>
      </c>
      <c r="Y13" s="97">
        <f>IF(AND(Y7&gt;='Key Assumptions'!$D$13,Y7&lt;'Key Assumptions'!$D$14),1,0)</f>
        <v>1</v>
      </c>
      <c r="Z13" s="97">
        <f>IF(AND(Z7&gt;='Key Assumptions'!$D$13,Z7&lt;'Key Assumptions'!$D$14),1,0)</f>
        <v>1</v>
      </c>
      <c r="AA13" s="97">
        <f>IF(AND(AA7&gt;='Key Assumptions'!$D$13,AA7&lt;'Key Assumptions'!$D$14),1,0)</f>
        <v>1</v>
      </c>
      <c r="AB13" s="97">
        <f>IF(AND(AB7&gt;='Key Assumptions'!$D$13,AB7&lt;'Key Assumptions'!$D$14),1,0)</f>
        <v>1</v>
      </c>
      <c r="AC13" s="97">
        <f>IF(AND(AC7&gt;='Key Assumptions'!$D$13,AC7&lt;'Key Assumptions'!$D$14),1,0)</f>
        <v>1</v>
      </c>
      <c r="AD13" s="97">
        <f>IF(AND(AD7&gt;='Key Assumptions'!$D$13,AD7&lt;'Key Assumptions'!$D$14),1,0)</f>
        <v>1</v>
      </c>
      <c r="AE13" s="97">
        <f>IF(AND(AE7&gt;='Key Assumptions'!$D$13,AE7&lt;'Key Assumptions'!$D$14),1,0)</f>
        <v>0</v>
      </c>
      <c r="AF13" s="97">
        <f>IF(AND(AF7&gt;='Key Assumptions'!$D$13,AF7&lt;'Key Assumptions'!$D$14),1,0)</f>
        <v>0</v>
      </c>
      <c r="AG13" s="97">
        <f>IF(AND(AG7&gt;='Key Assumptions'!$D$13,AG7&lt;'Key Assumptions'!$D$14),1,0)</f>
        <v>0</v>
      </c>
      <c r="AH13" s="97">
        <f>IF(AND(AH7&gt;='Key Assumptions'!$D$13,AH7&lt;'Key Assumptions'!$D$14),1,0)</f>
        <v>0</v>
      </c>
      <c r="AI13" s="97">
        <f>IF(AND(AI7&gt;='Key Assumptions'!$D$13,AI7&lt;'Key Assumptions'!$D$14),1,0)</f>
        <v>0</v>
      </c>
      <c r="AJ13" s="97">
        <f>IF(AND(AJ7&gt;='Key Assumptions'!$D$13,AJ7&lt;'Key Assumptions'!$D$14),1,0)</f>
        <v>0</v>
      </c>
      <c r="AK13" s="97">
        <f>IF(AND(AK7&gt;='Key Assumptions'!$D$13,AK7&lt;'Key Assumptions'!$D$14),1,0)</f>
        <v>0</v>
      </c>
      <c r="AL13" s="97">
        <f>IF(AND(AL7&gt;='Key Assumptions'!$D$13,AL7&lt;'Key Assumptions'!$D$14),1,0)</f>
        <v>0</v>
      </c>
      <c r="AM13" s="97">
        <f>IF(AND(AM7&gt;='Key Assumptions'!$D$13,AM7&lt;'Key Assumptions'!$D$14),1,0)</f>
        <v>0</v>
      </c>
      <c r="AN13" s="97">
        <f>IF(AND(AN7&gt;='Key Assumptions'!$D$13,AN7&lt;'Key Assumptions'!$D$14),1,0)</f>
        <v>0</v>
      </c>
      <c r="AO13" s="97">
        <f>IF(AND(AO7&gt;='Key Assumptions'!$D$13,AO7&lt;'Key Assumptions'!$D$14),1,0)</f>
        <v>0</v>
      </c>
      <c r="AP13" s="97">
        <f>IF(AND(AP7&gt;='Key Assumptions'!$D$13,AP7&lt;'Key Assumptions'!$D$14),1,0)</f>
        <v>0</v>
      </c>
      <c r="AQ13" s="97">
        <f>IF(AND(AQ7&gt;='Key Assumptions'!$D$13,AQ7&lt;'Key Assumptions'!$D$14),1,0)</f>
        <v>0</v>
      </c>
      <c r="AR13" s="97">
        <f>IF(AND(AR7&gt;='Key Assumptions'!$D$13,AR7&lt;'Key Assumptions'!$D$14),1,0)</f>
        <v>0</v>
      </c>
      <c r="AS13" s="97">
        <f>IF(AND(AS7&gt;='Key Assumptions'!$D$13,AS7&lt;'Key Assumptions'!$D$14),1,0)</f>
        <v>0</v>
      </c>
      <c r="AT13" s="97">
        <f>IF(AND(AT7&gt;='Key Assumptions'!$D$13,AT7&lt;'Key Assumptions'!$D$14),1,0)</f>
        <v>0</v>
      </c>
      <c r="AU13" s="97">
        <f>IF(AND(AU7&gt;='Key Assumptions'!$D$13,AU7&lt;'Key Assumptions'!$D$14),1,0)</f>
        <v>0</v>
      </c>
      <c r="AV13" s="97">
        <f>IF(AND(AV7&gt;='Key Assumptions'!$D$13,AV7&lt;'Key Assumptions'!$D$14),1,0)</f>
        <v>0</v>
      </c>
      <c r="AW13" s="97">
        <f>IF(AND(AW7&gt;='Key Assumptions'!$D$13,AW7&lt;'Key Assumptions'!$D$14),1,0)</f>
        <v>0</v>
      </c>
      <c r="AX13" s="97">
        <f>IF(AND(AX7&gt;='Key Assumptions'!$D$13,AX7&lt;'Key Assumptions'!$D$14),1,0)</f>
        <v>0</v>
      </c>
      <c r="AY13" s="97">
        <f>IF(AND(AY7&gt;='Key Assumptions'!$D$13,AY7&lt;'Key Assumptions'!$D$14),1,0)</f>
        <v>0</v>
      </c>
      <c r="AZ13" s="97">
        <f>IF(AND(AZ7&gt;='Key Assumptions'!$D$13,AZ7&lt;'Key Assumptions'!$D$14),1,0)</f>
        <v>0</v>
      </c>
      <c r="BA13" s="97">
        <f>IF(AND(BA7&gt;='Key Assumptions'!$D$13,BA7&lt;'Key Assumptions'!$D$14),1,0)</f>
        <v>0</v>
      </c>
      <c r="BB13" s="97">
        <f>IF(AND(BB7&gt;='Key Assumptions'!$D$13,BB7&lt;'Key Assumptions'!$D$14),1,0)</f>
        <v>0</v>
      </c>
      <c r="BC13" s="97">
        <f>IF(AND(BC7&gt;='Key Assumptions'!$D$13,BC7&lt;'Key Assumptions'!$D$14),1,0)</f>
        <v>0</v>
      </c>
      <c r="BD13" s="97">
        <f>IF(AND(BD7&gt;='Key Assumptions'!$D$13,BD7&lt;'Key Assumptions'!$D$14),1,0)</f>
        <v>0</v>
      </c>
      <c r="BE13" s="97">
        <f>IF(AND(BE7&gt;='Key Assumptions'!$D$13,BE7&lt;'Key Assumptions'!$D$14),1,0)</f>
        <v>0</v>
      </c>
      <c r="BF13" s="97">
        <f>IF(AND(BF7&gt;='Key Assumptions'!$D$13,BF7&lt;'Key Assumptions'!$D$14),1,0)</f>
        <v>0</v>
      </c>
      <c r="BG13" s="97">
        <f>IF(AND(BG7&gt;='Key Assumptions'!$D$13,BG7&lt;'Key Assumptions'!$D$14),1,0)</f>
        <v>0</v>
      </c>
      <c r="BH13" s="97">
        <f>IF(AND(BH7&gt;='Key Assumptions'!$D$13,BH7&lt;'Key Assumptions'!$D$14),1,0)</f>
        <v>0</v>
      </c>
      <c r="BI13" s="97">
        <f>IF(AND(BI7&gt;='Key Assumptions'!$D$13,BI7&lt;'Key Assumptions'!$D$14),1,0)</f>
        <v>0</v>
      </c>
      <c r="BJ13" s="97">
        <f>IF(AND(BJ7&gt;='Key Assumptions'!$D$13,BJ7&lt;'Key Assumptions'!$D$14),1,0)</f>
        <v>0</v>
      </c>
      <c r="BK13" s="97">
        <f>IF(AND(BK7&gt;='Key Assumptions'!$D$13,BK7&lt;'Key Assumptions'!$D$14),1,0)</f>
        <v>0</v>
      </c>
      <c r="BL13" s="97">
        <f>IF(AND(BL7&gt;='Key Assumptions'!$D$13,BL7&lt;'Key Assumptions'!$D$14),1,0)</f>
        <v>0</v>
      </c>
      <c r="BM13" s="97">
        <f>IF(AND(BM7&gt;='Key Assumptions'!$D$13,BM7&lt;'Key Assumptions'!$D$14),1,0)</f>
        <v>0</v>
      </c>
      <c r="BN13" s="97">
        <f>IF(AND(BN7&gt;='Key Assumptions'!$D$13,BN7&lt;'Key Assumptions'!$D$14),1,0)</f>
        <v>0</v>
      </c>
      <c r="BO13" s="97">
        <f>IF(AND(BO7&gt;='Key Assumptions'!$D$13,BO7&lt;'Key Assumptions'!$D$14),1,0)</f>
        <v>0</v>
      </c>
      <c r="BP13" s="97">
        <f>IF(AND(BP7&gt;='Key Assumptions'!$D$13,BP7&lt;'Key Assumptions'!$D$14),1,0)</f>
        <v>0</v>
      </c>
      <c r="BQ13" s="97">
        <f>IF(AND(BQ7&gt;='Key Assumptions'!$D$13,BQ7&lt;'Key Assumptions'!$D$14),1,0)</f>
        <v>0</v>
      </c>
      <c r="BR13" s="97">
        <f>IF(AND(BR7&gt;='Key Assumptions'!$D$13,BR7&lt;'Key Assumptions'!$D$14),1,0)</f>
        <v>0</v>
      </c>
      <c r="BS13" s="97">
        <f>IF(AND(BS7&gt;='Key Assumptions'!$D$13,BS7&lt;'Key Assumptions'!$D$14),1,0)</f>
        <v>0</v>
      </c>
      <c r="BT13" s="97">
        <f>IF(AND(BT7&gt;='Key Assumptions'!$D$13,BT7&lt;'Key Assumptions'!$D$14),1,0)</f>
        <v>0</v>
      </c>
      <c r="BU13" s="20"/>
    </row>
    <row r="14" hidden="1" outlineLevel="1">
      <c r="A14" s="20"/>
      <c r="B14" s="20"/>
      <c r="C14" s="20"/>
      <c r="D14" s="20"/>
      <c r="E14" s="20"/>
      <c r="F14" s="91" t="s">
        <v>29</v>
      </c>
      <c r="G14" s="100">
        <f>IF(AND(G7&gt;='Key Assumptions'!$D$15,G7&lt;'Key Assumptions'!$D$16),1,0)</f>
        <v>0</v>
      </c>
      <c r="H14" s="100">
        <f>IF(AND(H7&gt;='Key Assumptions'!$D$15,H7&lt;'Key Assumptions'!$D$16),1,0)</f>
        <v>0</v>
      </c>
      <c r="I14" s="100">
        <f>IF(AND(I7&gt;='Key Assumptions'!$D$15,I7&lt;'Key Assumptions'!$D$16),1,0)</f>
        <v>1</v>
      </c>
      <c r="J14" s="100">
        <f>IF(AND(J7&gt;='Key Assumptions'!$D$15,J7&lt;'Key Assumptions'!$D$16),1,0)</f>
        <v>1</v>
      </c>
      <c r="K14" s="100">
        <f>IF(AND(K7&gt;='Key Assumptions'!$D$15,K7&lt;'Key Assumptions'!$D$16),1,0)</f>
        <v>1</v>
      </c>
      <c r="L14" s="101"/>
      <c r="M14" s="100">
        <f>IF(AND(M7&gt;='Key Assumptions'!$D$15,M7&lt;'Key Assumptions'!$D$16),1,0)</f>
        <v>0</v>
      </c>
      <c r="N14" s="100">
        <f>IF(AND(N7&gt;='Key Assumptions'!$D$15,N7&lt;'Key Assumptions'!$D$16),1,0)</f>
        <v>0</v>
      </c>
      <c r="O14" s="100">
        <f>IF(AND(O7&gt;='Key Assumptions'!$D$15,O7&lt;'Key Assumptions'!$D$16),1,0)</f>
        <v>0</v>
      </c>
      <c r="P14" s="100">
        <f>IF(AND(P7&gt;='Key Assumptions'!$D$15,P7&lt;'Key Assumptions'!$D$16),1,0)</f>
        <v>0</v>
      </c>
      <c r="Q14" s="100">
        <f>IF(AND(Q7&gt;='Key Assumptions'!$D$15,Q7&lt;'Key Assumptions'!$D$16),1,0)</f>
        <v>0</v>
      </c>
      <c r="R14" s="100">
        <f>IF(AND(R7&gt;='Key Assumptions'!$D$15,R7&lt;'Key Assumptions'!$D$16),1,0)</f>
        <v>0</v>
      </c>
      <c r="S14" s="100">
        <f>IF(AND(S7&gt;='Key Assumptions'!$D$15,S7&lt;'Key Assumptions'!$D$16),1,0)</f>
        <v>0</v>
      </c>
      <c r="T14" s="100">
        <f>IF(AND(T7&gt;='Key Assumptions'!$D$15,T7&lt;'Key Assumptions'!$D$16),1,0)</f>
        <v>0</v>
      </c>
      <c r="U14" s="100">
        <f>IF(AND(U7&gt;='Key Assumptions'!$D$15,U7&lt;'Key Assumptions'!$D$16),1,0)</f>
        <v>0</v>
      </c>
      <c r="V14" s="100">
        <f>IF(AND(V7&gt;='Key Assumptions'!$D$15,V7&lt;'Key Assumptions'!$D$16),1,0)</f>
        <v>0</v>
      </c>
      <c r="W14" s="100">
        <f>IF(AND(W7&gt;='Key Assumptions'!$D$15,W7&lt;'Key Assumptions'!$D$16),1,0)</f>
        <v>0</v>
      </c>
      <c r="X14" s="100">
        <f>IF(AND(X7&gt;='Key Assumptions'!$D$15,X7&lt;'Key Assumptions'!$D$16),1,0)</f>
        <v>0</v>
      </c>
      <c r="Y14" s="100">
        <f>IF(AND(Y7&gt;='Key Assumptions'!$D$15,Y7&lt;'Key Assumptions'!$D$16),1,0)</f>
        <v>0</v>
      </c>
      <c r="Z14" s="100">
        <f>IF(AND(Z7&gt;='Key Assumptions'!$D$15,Z7&lt;'Key Assumptions'!$D$16),1,0)</f>
        <v>0</v>
      </c>
      <c r="AA14" s="100">
        <f>IF(AND(AA7&gt;='Key Assumptions'!$D$15,AA7&lt;'Key Assumptions'!$D$16),1,0)</f>
        <v>0</v>
      </c>
      <c r="AB14" s="100">
        <f>IF(AND(AB7&gt;='Key Assumptions'!$D$15,AB7&lt;'Key Assumptions'!$D$16),1,0)</f>
        <v>0</v>
      </c>
      <c r="AC14" s="100">
        <f>IF(AND(AC7&gt;='Key Assumptions'!$D$15,AC7&lt;'Key Assumptions'!$D$16),1,0)</f>
        <v>0</v>
      </c>
      <c r="AD14" s="100">
        <f>IF(AND(AD7&gt;='Key Assumptions'!$D$15,AD7&lt;'Key Assumptions'!$D$16),1,0)</f>
        <v>0</v>
      </c>
      <c r="AE14" s="100">
        <f>IF(AND(AE7&gt;='Key Assumptions'!$D$15,AE7&lt;'Key Assumptions'!$D$16),1,0)</f>
        <v>1</v>
      </c>
      <c r="AF14" s="100">
        <f>IF(AND(AF7&gt;='Key Assumptions'!$D$15,AF7&lt;'Key Assumptions'!$D$16),1,0)</f>
        <v>1</v>
      </c>
      <c r="AG14" s="100">
        <f>IF(AND(AG7&gt;='Key Assumptions'!$D$15,AG7&lt;'Key Assumptions'!$D$16),1,0)</f>
        <v>1</v>
      </c>
      <c r="AH14" s="100">
        <f>IF(AND(AH7&gt;='Key Assumptions'!$D$15,AH7&lt;'Key Assumptions'!$D$16),1,0)</f>
        <v>1</v>
      </c>
      <c r="AI14" s="100">
        <f>IF(AND(AI7&gt;='Key Assumptions'!$D$15,AI7&lt;'Key Assumptions'!$D$16),1,0)</f>
        <v>1</v>
      </c>
      <c r="AJ14" s="100">
        <f>IF(AND(AJ7&gt;='Key Assumptions'!$D$15,AJ7&lt;'Key Assumptions'!$D$16),1,0)</f>
        <v>1</v>
      </c>
      <c r="AK14" s="100">
        <f>IF(AND(AK7&gt;='Key Assumptions'!$D$15,AK7&lt;'Key Assumptions'!$D$16),1,0)</f>
        <v>1</v>
      </c>
      <c r="AL14" s="100">
        <f>IF(AND(AL7&gt;='Key Assumptions'!$D$15,AL7&lt;'Key Assumptions'!$D$16),1,0)</f>
        <v>1</v>
      </c>
      <c r="AM14" s="100">
        <f>IF(AND(AM7&gt;='Key Assumptions'!$D$15,AM7&lt;'Key Assumptions'!$D$16),1,0)</f>
        <v>1</v>
      </c>
      <c r="AN14" s="100">
        <f>IF(AND(AN7&gt;='Key Assumptions'!$D$15,AN7&lt;'Key Assumptions'!$D$16),1,0)</f>
        <v>1</v>
      </c>
      <c r="AO14" s="100">
        <f>IF(AND(AO7&gt;='Key Assumptions'!$D$15,AO7&lt;'Key Assumptions'!$D$16),1,0)</f>
        <v>1</v>
      </c>
      <c r="AP14" s="100">
        <f>IF(AND(AP7&gt;='Key Assumptions'!$D$15,AP7&lt;'Key Assumptions'!$D$16),1,0)</f>
        <v>1</v>
      </c>
      <c r="AQ14" s="100">
        <f>IF(AND(AQ7&gt;='Key Assumptions'!$D$15,AQ7&lt;'Key Assumptions'!$D$16),1,0)</f>
        <v>1</v>
      </c>
      <c r="AR14" s="100">
        <f>IF(AND(AR7&gt;='Key Assumptions'!$D$15,AR7&lt;'Key Assumptions'!$D$16),1,0)</f>
        <v>1</v>
      </c>
      <c r="AS14" s="100">
        <f>IF(AND(AS7&gt;='Key Assumptions'!$D$15,AS7&lt;'Key Assumptions'!$D$16),1,0)</f>
        <v>1</v>
      </c>
      <c r="AT14" s="100">
        <f>IF(AND(AT7&gt;='Key Assumptions'!$D$15,AT7&lt;'Key Assumptions'!$D$16),1,0)</f>
        <v>1</v>
      </c>
      <c r="AU14" s="100">
        <f>IF(AND(AU7&gt;='Key Assumptions'!$D$15,AU7&lt;'Key Assumptions'!$D$16),1,0)</f>
        <v>1</v>
      </c>
      <c r="AV14" s="100">
        <f>IF(AND(AV7&gt;='Key Assumptions'!$D$15,AV7&lt;'Key Assumptions'!$D$16),1,0)</f>
        <v>1</v>
      </c>
      <c r="AW14" s="100">
        <f>IF(AND(AW7&gt;='Key Assumptions'!$D$15,AW7&lt;'Key Assumptions'!$D$16),1,0)</f>
        <v>1</v>
      </c>
      <c r="AX14" s="100">
        <f>IF(AND(AX7&gt;='Key Assumptions'!$D$15,AX7&lt;'Key Assumptions'!$D$16),1,0)</f>
        <v>1</v>
      </c>
      <c r="AY14" s="100">
        <f>IF(AND(AY7&gt;='Key Assumptions'!$D$15,AY7&lt;'Key Assumptions'!$D$16),1,0)</f>
        <v>1</v>
      </c>
      <c r="AZ14" s="100">
        <f>IF(AND(AZ7&gt;='Key Assumptions'!$D$15,AZ7&lt;'Key Assumptions'!$D$16),1,0)</f>
        <v>1</v>
      </c>
      <c r="BA14" s="100">
        <f>IF(AND(BA7&gt;='Key Assumptions'!$D$15,BA7&lt;'Key Assumptions'!$D$16),1,0)</f>
        <v>1</v>
      </c>
      <c r="BB14" s="100">
        <f>IF(AND(BB7&gt;='Key Assumptions'!$D$15,BB7&lt;'Key Assumptions'!$D$16),1,0)</f>
        <v>1</v>
      </c>
      <c r="BC14" s="100">
        <f>IF(AND(BC7&gt;='Key Assumptions'!$D$15,BC7&lt;'Key Assumptions'!$D$16),1,0)</f>
        <v>1</v>
      </c>
      <c r="BD14" s="100">
        <f>IF(AND(BD7&gt;='Key Assumptions'!$D$15,BD7&lt;'Key Assumptions'!$D$16),1,0)</f>
        <v>1</v>
      </c>
      <c r="BE14" s="100">
        <f>IF(AND(BE7&gt;='Key Assumptions'!$D$15,BE7&lt;'Key Assumptions'!$D$16),1,0)</f>
        <v>1</v>
      </c>
      <c r="BF14" s="100">
        <f>IF(AND(BF7&gt;='Key Assumptions'!$D$15,BF7&lt;'Key Assumptions'!$D$16),1,0)</f>
        <v>1</v>
      </c>
      <c r="BG14" s="100">
        <f>IF(AND(BG7&gt;='Key Assumptions'!$D$15,BG7&lt;'Key Assumptions'!$D$16),1,0)</f>
        <v>1</v>
      </c>
      <c r="BH14" s="100">
        <f>IF(AND(BH7&gt;='Key Assumptions'!$D$15,BH7&lt;'Key Assumptions'!$D$16),1,0)</f>
        <v>1</v>
      </c>
      <c r="BI14" s="100">
        <f>IF(AND(BI7&gt;='Key Assumptions'!$D$15,BI7&lt;'Key Assumptions'!$D$16),1,0)</f>
        <v>1</v>
      </c>
      <c r="BJ14" s="100">
        <f>IF(AND(BJ7&gt;='Key Assumptions'!$D$15,BJ7&lt;'Key Assumptions'!$D$16),1,0)</f>
        <v>1</v>
      </c>
      <c r="BK14" s="100">
        <f>IF(AND(BK7&gt;='Key Assumptions'!$D$15,BK7&lt;'Key Assumptions'!$D$16),1,0)</f>
        <v>1</v>
      </c>
      <c r="BL14" s="100">
        <f>IF(AND(BL7&gt;='Key Assumptions'!$D$15,BL7&lt;'Key Assumptions'!$D$16),1,0)</f>
        <v>1</v>
      </c>
      <c r="BM14" s="100">
        <f>IF(AND(BM7&gt;='Key Assumptions'!$D$15,BM7&lt;'Key Assumptions'!$D$16),1,0)</f>
        <v>1</v>
      </c>
      <c r="BN14" s="100">
        <f>IF(AND(BN7&gt;='Key Assumptions'!$D$15,BN7&lt;'Key Assumptions'!$D$16),1,0)</f>
        <v>1</v>
      </c>
      <c r="BO14" s="100">
        <f>IF(AND(BO7&gt;='Key Assumptions'!$D$15,BO7&lt;'Key Assumptions'!$D$16),1,0)</f>
        <v>1</v>
      </c>
      <c r="BP14" s="100">
        <f>IF(AND(BP7&gt;='Key Assumptions'!$D$15,BP7&lt;'Key Assumptions'!$D$16),1,0)</f>
        <v>1</v>
      </c>
      <c r="BQ14" s="100">
        <f>IF(AND(BQ7&gt;='Key Assumptions'!$D$15,BQ7&lt;'Key Assumptions'!$D$16),1,0)</f>
        <v>1</v>
      </c>
      <c r="BR14" s="100">
        <f>IF(AND(BR7&gt;='Key Assumptions'!$D$15,BR7&lt;'Key Assumptions'!$D$16),1,0)</f>
        <v>1</v>
      </c>
      <c r="BS14" s="100">
        <f>IF(AND(BS7&gt;='Key Assumptions'!$D$15,BS7&lt;'Key Assumptions'!$D$16),1,0)</f>
        <v>1</v>
      </c>
      <c r="BT14" s="100">
        <f>IF(AND(BT7&gt;='Key Assumptions'!$D$15,BT7&lt;'Key Assumptions'!$D$16),1,0)</f>
        <v>1</v>
      </c>
      <c r="BU14" s="20"/>
    </row>
    <row r="15" hidden="1" outlineLevel="1">
      <c r="A15" s="20"/>
      <c r="B15" s="20"/>
      <c r="C15" s="20"/>
      <c r="D15" s="20"/>
      <c r="E15" s="20"/>
      <c r="F15" s="91" t="s">
        <v>30</v>
      </c>
      <c r="G15" s="100">
        <f t="shared" ref="G15:K15" si="13">COUNTA($G$7:G7)</f>
        <v>1</v>
      </c>
      <c r="H15" s="100">
        <f t="shared" si="13"/>
        <v>2</v>
      </c>
      <c r="I15" s="100">
        <f t="shared" si="13"/>
        <v>3</v>
      </c>
      <c r="J15" s="100">
        <f t="shared" si="13"/>
        <v>4</v>
      </c>
      <c r="K15" s="100">
        <f t="shared" si="13"/>
        <v>5</v>
      </c>
      <c r="L15" s="101"/>
      <c r="M15" s="100">
        <f t="shared" ref="M15:BT15" si="14">INDEX($G$15:$K$15,MATCH(YEAR(M$7),$G$10:$K$10,0))</f>
        <v>1</v>
      </c>
      <c r="N15" s="100">
        <f t="shared" si="14"/>
        <v>1</v>
      </c>
      <c r="O15" s="100">
        <f t="shared" si="14"/>
        <v>1</v>
      </c>
      <c r="P15" s="100">
        <f t="shared" si="14"/>
        <v>1</v>
      </c>
      <c r="Q15" s="100">
        <f t="shared" si="14"/>
        <v>1</v>
      </c>
      <c r="R15" s="100">
        <f t="shared" si="14"/>
        <v>1</v>
      </c>
      <c r="S15" s="100">
        <f t="shared" si="14"/>
        <v>1</v>
      </c>
      <c r="T15" s="100">
        <f t="shared" si="14"/>
        <v>1</v>
      </c>
      <c r="U15" s="100">
        <f t="shared" si="14"/>
        <v>1</v>
      </c>
      <c r="V15" s="100">
        <f t="shared" si="14"/>
        <v>1</v>
      </c>
      <c r="W15" s="100">
        <f t="shared" si="14"/>
        <v>1</v>
      </c>
      <c r="X15" s="100">
        <f t="shared" si="14"/>
        <v>1</v>
      </c>
      <c r="Y15" s="100">
        <f t="shared" si="14"/>
        <v>2</v>
      </c>
      <c r="Z15" s="100">
        <f t="shared" si="14"/>
        <v>2</v>
      </c>
      <c r="AA15" s="100">
        <f t="shared" si="14"/>
        <v>2</v>
      </c>
      <c r="AB15" s="100">
        <f t="shared" si="14"/>
        <v>2</v>
      </c>
      <c r="AC15" s="100">
        <f t="shared" si="14"/>
        <v>2</v>
      </c>
      <c r="AD15" s="100">
        <f t="shared" si="14"/>
        <v>2</v>
      </c>
      <c r="AE15" s="100">
        <f t="shared" si="14"/>
        <v>2</v>
      </c>
      <c r="AF15" s="100">
        <f t="shared" si="14"/>
        <v>2</v>
      </c>
      <c r="AG15" s="100">
        <f t="shared" si="14"/>
        <v>2</v>
      </c>
      <c r="AH15" s="100">
        <f t="shared" si="14"/>
        <v>2</v>
      </c>
      <c r="AI15" s="100">
        <f t="shared" si="14"/>
        <v>2</v>
      </c>
      <c r="AJ15" s="100">
        <f t="shared" si="14"/>
        <v>2</v>
      </c>
      <c r="AK15" s="100">
        <f t="shared" si="14"/>
        <v>3</v>
      </c>
      <c r="AL15" s="100">
        <f t="shared" si="14"/>
        <v>3</v>
      </c>
      <c r="AM15" s="100">
        <f t="shared" si="14"/>
        <v>3</v>
      </c>
      <c r="AN15" s="100">
        <f t="shared" si="14"/>
        <v>3</v>
      </c>
      <c r="AO15" s="100">
        <f t="shared" si="14"/>
        <v>3</v>
      </c>
      <c r="AP15" s="100">
        <f t="shared" si="14"/>
        <v>3</v>
      </c>
      <c r="AQ15" s="100">
        <f t="shared" si="14"/>
        <v>3</v>
      </c>
      <c r="AR15" s="100">
        <f t="shared" si="14"/>
        <v>3</v>
      </c>
      <c r="AS15" s="100">
        <f t="shared" si="14"/>
        <v>3</v>
      </c>
      <c r="AT15" s="100">
        <f t="shared" si="14"/>
        <v>3</v>
      </c>
      <c r="AU15" s="100">
        <f t="shared" si="14"/>
        <v>3</v>
      </c>
      <c r="AV15" s="100">
        <f t="shared" si="14"/>
        <v>3</v>
      </c>
      <c r="AW15" s="100">
        <f t="shared" si="14"/>
        <v>4</v>
      </c>
      <c r="AX15" s="100">
        <f t="shared" si="14"/>
        <v>4</v>
      </c>
      <c r="AY15" s="100">
        <f t="shared" si="14"/>
        <v>4</v>
      </c>
      <c r="AZ15" s="100">
        <f t="shared" si="14"/>
        <v>4</v>
      </c>
      <c r="BA15" s="100">
        <f t="shared" si="14"/>
        <v>4</v>
      </c>
      <c r="BB15" s="100">
        <f t="shared" si="14"/>
        <v>4</v>
      </c>
      <c r="BC15" s="100">
        <f t="shared" si="14"/>
        <v>4</v>
      </c>
      <c r="BD15" s="100">
        <f t="shared" si="14"/>
        <v>4</v>
      </c>
      <c r="BE15" s="100">
        <f t="shared" si="14"/>
        <v>4</v>
      </c>
      <c r="BF15" s="100">
        <f t="shared" si="14"/>
        <v>4</v>
      </c>
      <c r="BG15" s="100">
        <f t="shared" si="14"/>
        <v>4</v>
      </c>
      <c r="BH15" s="100">
        <f t="shared" si="14"/>
        <v>4</v>
      </c>
      <c r="BI15" s="100">
        <f t="shared" si="14"/>
        <v>5</v>
      </c>
      <c r="BJ15" s="100">
        <f t="shared" si="14"/>
        <v>5</v>
      </c>
      <c r="BK15" s="100">
        <f t="shared" si="14"/>
        <v>5</v>
      </c>
      <c r="BL15" s="100">
        <f t="shared" si="14"/>
        <v>5</v>
      </c>
      <c r="BM15" s="100">
        <f t="shared" si="14"/>
        <v>5</v>
      </c>
      <c r="BN15" s="100">
        <f t="shared" si="14"/>
        <v>5</v>
      </c>
      <c r="BO15" s="100">
        <f t="shared" si="14"/>
        <v>5</v>
      </c>
      <c r="BP15" s="100">
        <f t="shared" si="14"/>
        <v>5</v>
      </c>
      <c r="BQ15" s="100">
        <f t="shared" si="14"/>
        <v>5</v>
      </c>
      <c r="BR15" s="100">
        <f t="shared" si="14"/>
        <v>5</v>
      </c>
      <c r="BS15" s="100">
        <f t="shared" si="14"/>
        <v>5</v>
      </c>
      <c r="BT15" s="100">
        <f t="shared" si="14"/>
        <v>5</v>
      </c>
      <c r="BU15" s="20"/>
    </row>
    <row r="16">
      <c r="A16" s="20"/>
      <c r="B16" s="81"/>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0"/>
      <c r="AP16" s="20"/>
      <c r="AQ16" s="20"/>
      <c r="AR16" s="20"/>
      <c r="AS16" s="20"/>
      <c r="AT16" s="20"/>
      <c r="AU16" s="20"/>
      <c r="AV16" s="20"/>
      <c r="AW16" s="20"/>
      <c r="AX16" s="20"/>
      <c r="AY16" s="20"/>
      <c r="AZ16" s="20"/>
      <c r="BA16" s="20"/>
      <c r="BB16" s="20"/>
      <c r="BC16" s="20"/>
      <c r="BD16" s="20"/>
      <c r="BE16" s="20"/>
      <c r="BF16" s="20"/>
      <c r="BG16" s="20"/>
      <c r="BH16" s="20"/>
      <c r="BI16" s="20"/>
      <c r="BJ16" s="20"/>
      <c r="BK16" s="20"/>
      <c r="BL16" s="20"/>
      <c r="BM16" s="20"/>
      <c r="BN16" s="20"/>
      <c r="BO16" s="20"/>
      <c r="BP16" s="20"/>
      <c r="BQ16" s="20"/>
      <c r="BR16" s="20"/>
      <c r="BS16" s="20"/>
      <c r="BT16" s="20"/>
      <c r="BU16" s="20"/>
    </row>
    <row r="17">
      <c r="A17" s="20"/>
      <c r="B17" s="102" t="s">
        <v>71</v>
      </c>
      <c r="C17" s="103"/>
      <c r="D17" s="103"/>
      <c r="E17" s="103"/>
      <c r="F17" s="103"/>
      <c r="G17" s="103"/>
      <c r="H17" s="103"/>
      <c r="I17" s="103"/>
      <c r="J17" s="103"/>
      <c r="K17" s="103"/>
      <c r="L17" s="103"/>
      <c r="M17" s="103"/>
      <c r="N17" s="103"/>
      <c r="O17" s="103"/>
      <c r="P17" s="103"/>
      <c r="Q17" s="103"/>
      <c r="R17" s="103"/>
      <c r="S17" s="103"/>
      <c r="T17" s="103"/>
      <c r="U17" s="103"/>
      <c r="V17" s="103"/>
      <c r="W17" s="103"/>
      <c r="X17" s="103"/>
      <c r="Y17" s="103"/>
      <c r="Z17" s="103"/>
      <c r="AA17" s="103"/>
      <c r="AB17" s="103"/>
      <c r="AC17" s="103"/>
      <c r="AD17" s="103"/>
      <c r="AE17" s="103"/>
      <c r="AF17" s="103"/>
      <c r="AG17" s="103"/>
      <c r="AH17" s="103"/>
      <c r="AI17" s="103"/>
      <c r="AJ17" s="103"/>
      <c r="AK17" s="103"/>
      <c r="AL17" s="103"/>
      <c r="AM17" s="103"/>
      <c r="AN17" s="103"/>
      <c r="AO17" s="103"/>
      <c r="AP17" s="103"/>
      <c r="AQ17" s="103"/>
      <c r="AR17" s="103"/>
      <c r="AS17" s="103"/>
      <c r="AT17" s="103"/>
      <c r="AU17" s="103"/>
      <c r="AV17" s="103"/>
      <c r="AW17" s="103"/>
      <c r="AX17" s="103"/>
      <c r="AY17" s="103"/>
      <c r="AZ17" s="103"/>
      <c r="BA17" s="103"/>
      <c r="BB17" s="103"/>
      <c r="BC17" s="103"/>
      <c r="BD17" s="103"/>
      <c r="BE17" s="103"/>
      <c r="BF17" s="103"/>
      <c r="BG17" s="103"/>
      <c r="BH17" s="103"/>
      <c r="BI17" s="103"/>
      <c r="BJ17" s="103"/>
      <c r="BK17" s="103"/>
      <c r="BL17" s="103"/>
      <c r="BM17" s="103"/>
      <c r="BN17" s="103"/>
      <c r="BO17" s="103"/>
      <c r="BP17" s="103"/>
      <c r="BQ17" s="103"/>
      <c r="BR17" s="103"/>
      <c r="BS17" s="103"/>
      <c r="BT17" s="103"/>
      <c r="BU17" s="20"/>
    </row>
    <row r="18" ht="5.25" customHeight="1">
      <c r="A18" s="20"/>
      <c r="B18" s="109"/>
      <c r="C18" s="109"/>
      <c r="D18" s="109"/>
      <c r="E18" s="109"/>
      <c r="F18" s="109"/>
      <c r="G18" s="109"/>
      <c r="H18" s="109"/>
      <c r="I18" s="109"/>
      <c r="J18" s="109"/>
      <c r="K18" s="109"/>
      <c r="L18" s="20"/>
      <c r="M18" s="109"/>
      <c r="N18" s="109"/>
      <c r="O18" s="109"/>
      <c r="P18" s="109"/>
      <c r="Q18" s="109"/>
      <c r="R18" s="109"/>
      <c r="S18" s="109"/>
      <c r="T18" s="109"/>
      <c r="U18" s="109"/>
      <c r="V18" s="109"/>
      <c r="W18" s="109"/>
      <c r="X18" s="109"/>
      <c r="Y18" s="109"/>
      <c r="Z18" s="109"/>
      <c r="AA18" s="109"/>
      <c r="AB18" s="109"/>
      <c r="AC18" s="109"/>
      <c r="AD18" s="109"/>
      <c r="AE18" s="109"/>
      <c r="AF18" s="109"/>
      <c r="AG18" s="109"/>
      <c r="AH18" s="109"/>
      <c r="AI18" s="109"/>
      <c r="AJ18" s="109"/>
      <c r="AK18" s="109"/>
      <c r="AL18" s="109"/>
      <c r="AM18" s="109"/>
      <c r="AN18" s="109"/>
      <c r="AO18" s="109"/>
      <c r="AP18" s="109"/>
      <c r="AQ18" s="109"/>
      <c r="AR18" s="109"/>
      <c r="AS18" s="109"/>
      <c r="AT18" s="109"/>
      <c r="AU18" s="109"/>
      <c r="AV18" s="109"/>
      <c r="AW18" s="109"/>
      <c r="AX18" s="109"/>
      <c r="AY18" s="109"/>
      <c r="AZ18" s="109"/>
      <c r="BA18" s="109"/>
      <c r="BB18" s="109"/>
      <c r="BC18" s="109"/>
      <c r="BD18" s="109"/>
      <c r="BE18" s="109"/>
      <c r="BF18" s="109"/>
      <c r="BG18" s="109"/>
      <c r="BH18" s="109"/>
      <c r="BI18" s="109"/>
      <c r="BJ18" s="109"/>
      <c r="BK18" s="109"/>
      <c r="BL18" s="109"/>
      <c r="BM18" s="109"/>
      <c r="BN18" s="109"/>
      <c r="BO18" s="109"/>
      <c r="BP18" s="109"/>
      <c r="BQ18" s="109"/>
      <c r="BR18" s="109"/>
      <c r="BS18" s="109"/>
      <c r="BT18" s="109"/>
      <c r="BU18" s="20"/>
    </row>
    <row r="19">
      <c r="A19" s="20"/>
      <c r="B19" s="104" t="s">
        <v>72</v>
      </c>
      <c r="C19" s="149"/>
      <c r="D19" s="149"/>
      <c r="E19" s="149"/>
      <c r="F19" s="232" t="s">
        <v>40</v>
      </c>
      <c r="G19" s="107">
        <f t="shared" ref="G19:K19" si="15">SUMIFS($M19:$BT19,$M$15:$BT$15,G$15)</f>
        <v>14794.62169</v>
      </c>
      <c r="H19" s="107">
        <f t="shared" si="15"/>
        <v>20075.87895</v>
      </c>
      <c r="I19" s="107">
        <f t="shared" si="15"/>
        <v>26528.88974</v>
      </c>
      <c r="J19" s="107">
        <f t="shared" si="15"/>
        <v>33296.57703</v>
      </c>
      <c r="K19" s="107">
        <f t="shared" si="15"/>
        <v>40094.11538</v>
      </c>
      <c r="L19" s="233"/>
      <c r="M19" s="107">
        <f>if(M11=10,Actuals!N54,Summary!M22/12/1000)</f>
        <v>1020.733343</v>
      </c>
      <c r="N19" s="107">
        <f>if(N11=10,Actuals!O54,Summary!N22/12/1000)</f>
        <v>1057.61497</v>
      </c>
      <c r="O19" s="107">
        <f>if(O11=10,Actuals!P54,Summary!O22/12/1000)</f>
        <v>1100.452986</v>
      </c>
      <c r="P19" s="107">
        <f>if(P11=10,Actuals!Q54,Summary!P22/12/1000)</f>
        <v>1132.966539</v>
      </c>
      <c r="Q19" s="107">
        <f>if(Q11=10,Actuals!R54,Summary!Q22/12/1000)</f>
        <v>1160.775313</v>
      </c>
      <c r="R19" s="107">
        <f>if(R11=10,Actuals!S54,Summary!R22/12/1000)</f>
        <v>1208.678558</v>
      </c>
      <c r="S19" s="107">
        <f>if(S11=10,Actuals!T54,Summary!S22/12/1000)</f>
        <v>1266.539519</v>
      </c>
      <c r="T19" s="107">
        <f>if(T11=10,Actuals!U54,Summary!T22/12/1000)</f>
        <v>1308.29939</v>
      </c>
      <c r="U19" s="107">
        <f>if(U11=10,Actuals!V54,Summary!U22/12/1000)</f>
        <v>1333.164942</v>
      </c>
      <c r="V19" s="107">
        <f>if(V11=10,Actuals!W54,Summary!V22/12/1000)</f>
        <v>1380.174909</v>
      </c>
      <c r="W19" s="107">
        <f>if(W11=10,Actuals!X54,Summary!W22/12/1000)</f>
        <v>1400.299099</v>
      </c>
      <c r="X19" s="107">
        <f>if(X11=10,Actuals!Y54,Summary!X22/12/1000)</f>
        <v>1424.92212</v>
      </c>
      <c r="Y19" s="107">
        <f>if(Y11=10,Actuals!Z54,Summary!Y22/12/1000)</f>
        <v>1467.634118</v>
      </c>
      <c r="Z19" s="107">
        <f>if(Z11=10,Actuals!AA54,Summary!Z22/12/1000)</f>
        <v>1517.313684</v>
      </c>
      <c r="AA19" s="107">
        <f>if(AA11=10,Actuals!AB54,Summary!AA22/12/1000)</f>
        <v>1537.751705</v>
      </c>
      <c r="AB19" s="107">
        <f>if(AB11=10,Actuals!AC54,Summary!AB22/12/1000)</f>
        <v>1570.361239</v>
      </c>
      <c r="AC19" s="107">
        <f>if(AC11=10,Actuals!AD54,Summary!AC22/12/1000)</f>
        <v>1605.506499</v>
      </c>
      <c r="AD19" s="107">
        <f>if(AD11=10,Actuals!AE54,Summary!AD22/12/1000)</f>
        <v>1632.745435</v>
      </c>
      <c r="AE19" s="107">
        <f>if(AE11=10,Actuals!AF54,Summary!AE22/12/1000)</f>
        <v>1675.111726</v>
      </c>
      <c r="AF19" s="107">
        <f>if(AF11=10,Actuals!AG54,Summary!AF22/12/1000)</f>
        <v>1720.255898</v>
      </c>
      <c r="AG19" s="107">
        <f>if(AG11=10,Actuals!AH54,Summary!AG22/12/1000)</f>
        <v>1767.202729</v>
      </c>
      <c r="AH19" s="107">
        <f>if(AH11=10,Actuals!AI54,Summary!AH22/12/1000)</f>
        <v>1811.926617</v>
      </c>
      <c r="AI19" s="107">
        <f>if(AI11=10,Actuals!AJ54,Summary!AI22/12/1000)</f>
        <v>1860.386233</v>
      </c>
      <c r="AJ19" s="107">
        <f>if(AJ11=10,Actuals!AK54,Summary!AJ22/12/1000)</f>
        <v>1909.68307</v>
      </c>
      <c r="AK19" s="107">
        <f>if(AK11=10,Actuals!AL54,Summary!AK22/12/1000)</f>
        <v>1954.237372</v>
      </c>
      <c r="AL19" s="107">
        <f>if(AL11=10,Actuals!AM54,Summary!AL22/12/1000)</f>
        <v>2000.702649</v>
      </c>
      <c r="AM19" s="107">
        <f>if(AM11=10,Actuals!AN54,Summary!AM22/12/1000)</f>
        <v>2052.079042</v>
      </c>
      <c r="AN19" s="107">
        <f>if(AN11=10,Actuals!AO54,Summary!AN22/12/1000)</f>
        <v>2098.208277</v>
      </c>
      <c r="AO19" s="107">
        <f>if(AO11=10,Actuals!AP54,Summary!AO22/12/1000)</f>
        <v>2140.109701</v>
      </c>
      <c r="AP19" s="107">
        <f>if(AP11=10,Actuals!AQ54,Summary!AP22/12/1000)</f>
        <v>2184.812291</v>
      </c>
      <c r="AQ19" s="107">
        <f>if(AQ11=10,Actuals!AR54,Summary!AQ22/12/1000)</f>
        <v>2231.908844</v>
      </c>
      <c r="AR19" s="107">
        <f>if(AR11=10,Actuals!AS54,Summary!AR22/12/1000)</f>
        <v>2278.9577</v>
      </c>
      <c r="AS19" s="107">
        <f>if(AS11=10,Actuals!AT54,Summary!AS22/12/1000)</f>
        <v>2326.110741</v>
      </c>
      <c r="AT19" s="107">
        <f>if(AT11=10,Actuals!AU54,Summary!AT22/12/1000)</f>
        <v>2373.36255</v>
      </c>
      <c r="AU19" s="107">
        <f>if(AU11=10,Actuals!AV54,Summary!AU22/12/1000)</f>
        <v>2420.544082</v>
      </c>
      <c r="AV19" s="107">
        <f>if(AV11=10,Actuals!AW54,Summary!AV22/12/1000)</f>
        <v>2467.856492</v>
      </c>
      <c r="AW19" s="107">
        <f>if(AW11=10,Actuals!AX54,Summary!AW22/12/1000)</f>
        <v>2515.162127</v>
      </c>
      <c r="AX19" s="107">
        <f>if(AX11=10,Actuals!AY54,Summary!AX22/12/1000)</f>
        <v>2562.359798</v>
      </c>
      <c r="AY19" s="107">
        <f>if(AY11=10,Actuals!AZ54,Summary!AY22/12/1000)</f>
        <v>2609.514147</v>
      </c>
      <c r="AZ19" s="107">
        <f>if(AZ11=10,Actuals!BA54,Summary!AZ22/12/1000)</f>
        <v>2656.687986</v>
      </c>
      <c r="BA19" s="107">
        <f>if(BA11=10,Actuals!BB54,Summary!BA22/12/1000)</f>
        <v>2703.834035</v>
      </c>
      <c r="BB19" s="107">
        <f>if(BB11=10,Actuals!BC54,Summary!BB22/12/1000)</f>
        <v>2751.022438</v>
      </c>
      <c r="BC19" s="107">
        <f>if(BC11=10,Actuals!BD54,Summary!BC22/12/1000)</f>
        <v>2798.262447</v>
      </c>
      <c r="BD19" s="107">
        <f>if(BD11=10,Actuals!BE54,Summary!BD22/12/1000)</f>
        <v>2845.511915</v>
      </c>
      <c r="BE19" s="107">
        <f>if(BE11=10,Actuals!BF54,Summary!BE22/12/1000)</f>
        <v>2892.743031</v>
      </c>
      <c r="BF19" s="107">
        <f>if(BF11=10,Actuals!BG54,Summary!BF22/12/1000)</f>
        <v>2939.972242</v>
      </c>
      <c r="BG19" s="107">
        <f>if(BG11=10,Actuals!BH54,Summary!BG22/12/1000)</f>
        <v>2987.167514</v>
      </c>
      <c r="BH19" s="107">
        <f>if(BH11=10,Actuals!BI54,Summary!BH22/12/1000)</f>
        <v>3034.339349</v>
      </c>
      <c r="BI19" s="107">
        <f>if(BI11=10,Actuals!BJ54,Summary!BI22/12/1000)</f>
        <v>3081.519802</v>
      </c>
      <c r="BJ19" s="107">
        <f>if(BJ11=10,Actuals!BK54,Summary!BJ22/12/1000)</f>
        <v>3128.719413</v>
      </c>
      <c r="BK19" s="107">
        <f>if(BK11=10,Actuals!BL54,Summary!BK22/12/1000)</f>
        <v>3175.930546</v>
      </c>
      <c r="BL19" s="107">
        <f>if(BL11=10,Actuals!BM54,Summary!BL22/12/1000)</f>
        <v>3223.158199</v>
      </c>
      <c r="BM19" s="107">
        <f>if(BM11=10,Actuals!BN54,Summary!BM22/12/1000)</f>
        <v>3270.387156</v>
      </c>
      <c r="BN19" s="107">
        <f>if(BN11=10,Actuals!BO54,Summary!BN22/12/1000)</f>
        <v>3317.602509</v>
      </c>
      <c r="BO19" s="107">
        <f>if(BO11=10,Actuals!BP54,Summary!BO22/12/1000)</f>
        <v>3364.804091</v>
      </c>
      <c r="BP19" s="107">
        <f>if(BP11=10,Actuals!BQ54,Summary!BP22/12/1000)</f>
        <v>3411.999386</v>
      </c>
      <c r="BQ19" s="107">
        <f>if(BQ11=10,Actuals!BR54,Summary!BQ22/12/1000)</f>
        <v>3459.19106</v>
      </c>
      <c r="BR19" s="107">
        <f>if(BR11=10,Actuals!BS54,Summary!BR22/12/1000)</f>
        <v>3506.38919</v>
      </c>
      <c r="BS19" s="107">
        <f>if(BS11=10,Actuals!BT54,Summary!BS22/12/1000)</f>
        <v>3553.598743</v>
      </c>
      <c r="BT19" s="107">
        <f>if(BT11=10,Actuals!BU54,Summary!BT22/12/1000)</f>
        <v>3600.815283</v>
      </c>
      <c r="BU19" s="20"/>
    </row>
    <row r="20">
      <c r="A20" s="20"/>
      <c r="B20" s="234" t="s">
        <v>73</v>
      </c>
      <c r="C20" s="173"/>
      <c r="D20" s="173"/>
      <c r="E20" s="173"/>
      <c r="F20" s="156" t="s">
        <v>38</v>
      </c>
      <c r="G20" s="235" t="str">
        <f>IFERROR(G19/F19-1,"na")</f>
        <v>na</v>
      </c>
      <c r="H20" s="236">
        <f t="shared" ref="H20:K20" si="16">IFERROR(H19/G19-1,0)</f>
        <v>0.3569714304</v>
      </c>
      <c r="I20" s="236">
        <f t="shared" si="16"/>
        <v>0.3214310468</v>
      </c>
      <c r="J20" s="236">
        <f t="shared" si="16"/>
        <v>0.2551063145</v>
      </c>
      <c r="K20" s="236">
        <f t="shared" si="16"/>
        <v>0.2041512659</v>
      </c>
      <c r="L20" s="176"/>
      <c r="M20" s="235" t="str">
        <f>IFERROR(M19/L19-1,"na")</f>
        <v>na</v>
      </c>
      <c r="N20" s="236">
        <f t="shared" ref="N20:BT20" si="17">IFERROR(N19/M19-1,0)</f>
        <v>0.03613247992</v>
      </c>
      <c r="O20" s="236">
        <f t="shared" si="17"/>
        <v>0.04050435909</v>
      </c>
      <c r="P20" s="236">
        <f t="shared" si="17"/>
        <v>0.02954560828</v>
      </c>
      <c r="Q20" s="236">
        <f t="shared" si="17"/>
        <v>0.02454509723</v>
      </c>
      <c r="R20" s="236">
        <f t="shared" si="17"/>
        <v>0.04126831778</v>
      </c>
      <c r="S20" s="236">
        <f t="shared" si="17"/>
        <v>0.04787125636</v>
      </c>
      <c r="T20" s="236">
        <f t="shared" si="17"/>
        <v>0.03297162902</v>
      </c>
      <c r="U20" s="236">
        <f t="shared" si="17"/>
        <v>0.01900601036</v>
      </c>
      <c r="V20" s="236">
        <f t="shared" si="17"/>
        <v>0.03526192858</v>
      </c>
      <c r="W20" s="236">
        <f t="shared" si="17"/>
        <v>0.01458089843</v>
      </c>
      <c r="X20" s="236">
        <f t="shared" si="17"/>
        <v>0.01758411591</v>
      </c>
      <c r="Y20" s="236">
        <f t="shared" si="17"/>
        <v>0.02997496999</v>
      </c>
      <c r="Z20" s="236">
        <f t="shared" si="17"/>
        <v>0.03385010251</v>
      </c>
      <c r="AA20" s="236">
        <f t="shared" si="17"/>
        <v>0.01346987237</v>
      </c>
      <c r="AB20" s="236">
        <f t="shared" si="17"/>
        <v>0.02120598098</v>
      </c>
      <c r="AC20" s="236">
        <f t="shared" si="17"/>
        <v>0.02238036641</v>
      </c>
      <c r="AD20" s="236">
        <f t="shared" si="17"/>
        <v>0.01696594619</v>
      </c>
      <c r="AE20" s="236">
        <f t="shared" si="17"/>
        <v>0.02594788519</v>
      </c>
      <c r="AF20" s="236">
        <f t="shared" si="17"/>
        <v>0.02694994629</v>
      </c>
      <c r="AG20" s="236">
        <f t="shared" si="17"/>
        <v>0.02729060944</v>
      </c>
      <c r="AH20" s="236">
        <f t="shared" si="17"/>
        <v>0.02530772894</v>
      </c>
      <c r="AI20" s="236">
        <f t="shared" si="17"/>
        <v>0.02674480037</v>
      </c>
      <c r="AJ20" s="236">
        <f t="shared" si="17"/>
        <v>0.02649817377</v>
      </c>
      <c r="AK20" s="236">
        <f t="shared" si="17"/>
        <v>0.02333073085</v>
      </c>
      <c r="AL20" s="236">
        <f t="shared" si="17"/>
        <v>0.02377668001</v>
      </c>
      <c r="AM20" s="236">
        <f t="shared" si="17"/>
        <v>0.02567917472</v>
      </c>
      <c r="AN20" s="236">
        <f t="shared" si="17"/>
        <v>0.02247926852</v>
      </c>
      <c r="AO20" s="236">
        <f t="shared" si="17"/>
        <v>0.01997009717</v>
      </c>
      <c r="AP20" s="236">
        <f t="shared" si="17"/>
        <v>0.02088798997</v>
      </c>
      <c r="AQ20" s="236">
        <f t="shared" si="17"/>
        <v>0.02155633847</v>
      </c>
      <c r="AR20" s="236">
        <f t="shared" si="17"/>
        <v>0.02108009739</v>
      </c>
      <c r="AS20" s="236">
        <f t="shared" si="17"/>
        <v>0.02069061729</v>
      </c>
      <c r="AT20" s="236">
        <f t="shared" si="17"/>
        <v>0.02031365407</v>
      </c>
      <c r="AU20" s="236">
        <f t="shared" si="17"/>
        <v>0.01987961414</v>
      </c>
      <c r="AV20" s="236">
        <f t="shared" si="17"/>
        <v>0.01954618832</v>
      </c>
      <c r="AW20" s="236">
        <f t="shared" si="17"/>
        <v>0.01916871395</v>
      </c>
      <c r="AX20" s="236">
        <f t="shared" si="17"/>
        <v>0.01876525955</v>
      </c>
      <c r="AY20" s="236">
        <f t="shared" si="17"/>
        <v>0.01840270431</v>
      </c>
      <c r="AZ20" s="236">
        <f t="shared" si="17"/>
        <v>0.01807763282</v>
      </c>
      <c r="BA20" s="236">
        <f t="shared" si="17"/>
        <v>0.01774617489</v>
      </c>
      <c r="BB20" s="236">
        <f t="shared" si="17"/>
        <v>0.01745240343</v>
      </c>
      <c r="BC20" s="236">
        <f t="shared" si="17"/>
        <v>0.01717180056</v>
      </c>
      <c r="BD20" s="236">
        <f t="shared" si="17"/>
        <v>0.01688528856</v>
      </c>
      <c r="BE20" s="236">
        <f t="shared" si="17"/>
        <v>0.01659845996</v>
      </c>
      <c r="BF20" s="236">
        <f t="shared" si="17"/>
        <v>0.01632679097</v>
      </c>
      <c r="BG20" s="236">
        <f t="shared" si="17"/>
        <v>0.01605296518</v>
      </c>
      <c r="BH20" s="236">
        <f t="shared" si="17"/>
        <v>0.01579149301</v>
      </c>
      <c r="BI20" s="236">
        <f t="shared" si="17"/>
        <v>0.01554883869</v>
      </c>
      <c r="BJ20" s="236">
        <f t="shared" si="17"/>
        <v>0.01531699109</v>
      </c>
      <c r="BK20" s="236">
        <f t="shared" si="17"/>
        <v>0.01508960275</v>
      </c>
      <c r="BL20" s="236">
        <f t="shared" si="17"/>
        <v>0.01487049298</v>
      </c>
      <c r="BM20" s="236">
        <f t="shared" si="17"/>
        <v>0.01465300627</v>
      </c>
      <c r="BN20" s="236">
        <f t="shared" si="17"/>
        <v>0.01443723639</v>
      </c>
      <c r="BO20" s="236">
        <f t="shared" si="17"/>
        <v>0.01422761837</v>
      </c>
      <c r="BP20" s="236">
        <f t="shared" si="17"/>
        <v>0.01402616434</v>
      </c>
      <c r="BQ20" s="236">
        <f t="shared" si="17"/>
        <v>0.01383109075</v>
      </c>
      <c r="BR20" s="236">
        <f t="shared" si="17"/>
        <v>0.01364426825</v>
      </c>
      <c r="BS20" s="236">
        <f t="shared" si="17"/>
        <v>0.01346386543</v>
      </c>
      <c r="BT20" s="236">
        <f t="shared" si="17"/>
        <v>0.01328696445</v>
      </c>
      <c r="BU20" s="20"/>
    </row>
    <row r="21">
      <c r="A21" s="20"/>
      <c r="B21" s="140"/>
      <c r="C21" s="109"/>
      <c r="D21" s="109"/>
      <c r="E21" s="109"/>
      <c r="F21" s="141"/>
      <c r="G21" s="152"/>
      <c r="H21" s="152"/>
      <c r="I21" s="152"/>
      <c r="J21" s="152"/>
      <c r="K21" s="152"/>
      <c r="L21" s="20"/>
      <c r="M21" s="152"/>
      <c r="N21" s="152"/>
      <c r="O21" s="152"/>
      <c r="P21" s="152"/>
      <c r="Q21" s="152"/>
      <c r="R21" s="152"/>
      <c r="S21" s="152"/>
      <c r="T21" s="152"/>
      <c r="U21" s="152"/>
      <c r="V21" s="152"/>
      <c r="W21" s="152"/>
      <c r="X21" s="152"/>
      <c r="Y21" s="152"/>
      <c r="Z21" s="152"/>
      <c r="AA21" s="152"/>
      <c r="AB21" s="152"/>
      <c r="AC21" s="152"/>
      <c r="AD21" s="152"/>
      <c r="AE21" s="152"/>
      <c r="AF21" s="152"/>
      <c r="AG21" s="152"/>
      <c r="AH21" s="152"/>
      <c r="AI21" s="152"/>
      <c r="AJ21" s="152"/>
      <c r="AK21" s="152"/>
      <c r="AL21" s="152"/>
      <c r="AM21" s="152"/>
      <c r="AN21" s="152"/>
      <c r="AO21" s="152"/>
      <c r="AP21" s="152"/>
      <c r="AQ21" s="152"/>
      <c r="AR21" s="152"/>
      <c r="AS21" s="152"/>
      <c r="AT21" s="152"/>
      <c r="AU21" s="152"/>
      <c r="AV21" s="152"/>
      <c r="AW21" s="152"/>
      <c r="AX21" s="152"/>
      <c r="AY21" s="152"/>
      <c r="AZ21" s="152"/>
      <c r="BA21" s="152"/>
      <c r="BB21" s="152"/>
      <c r="BC21" s="152"/>
      <c r="BD21" s="152"/>
      <c r="BE21" s="152"/>
      <c r="BF21" s="152"/>
      <c r="BG21" s="152"/>
      <c r="BH21" s="152"/>
      <c r="BI21" s="152"/>
      <c r="BJ21" s="152"/>
      <c r="BK21" s="152"/>
      <c r="BL21" s="152"/>
      <c r="BM21" s="152"/>
      <c r="BN21" s="152"/>
      <c r="BO21" s="152"/>
      <c r="BP21" s="152"/>
      <c r="BQ21" s="152"/>
      <c r="BR21" s="152"/>
      <c r="BS21" s="152"/>
      <c r="BT21" s="152"/>
      <c r="BU21" s="20"/>
    </row>
    <row r="22">
      <c r="A22" s="20"/>
      <c r="B22" s="237" t="s">
        <v>74</v>
      </c>
      <c r="C22" s="183"/>
      <c r="D22" s="183"/>
      <c r="E22" s="183"/>
      <c r="F22" s="184" t="s">
        <v>40</v>
      </c>
      <c r="G22" s="185">
        <f t="shared" ref="G22:K22" si="18">SUMIFS($M22:$BT22,$M$15:$BT$15,G$15)</f>
        <v>-2654.7948</v>
      </c>
      <c r="H22" s="185">
        <f t="shared" si="18"/>
        <v>-3646.474205</v>
      </c>
      <c r="I22" s="185">
        <f t="shared" si="18"/>
        <v>-5305.777948</v>
      </c>
      <c r="J22" s="185">
        <f t="shared" si="18"/>
        <v>-6659.315406</v>
      </c>
      <c r="K22" s="185">
        <f t="shared" si="18"/>
        <v>-8018.823076</v>
      </c>
      <c r="L22" s="20"/>
      <c r="M22" s="116">
        <f>if(M13=1,Actuals!N57,-(M19-M23))</f>
        <v>-199.5006333</v>
      </c>
      <c r="N22" s="116">
        <f>if(N13=1,Actuals!O57,-(N19-N23))</f>
        <v>-203.9835667</v>
      </c>
      <c r="O22" s="116">
        <f>if(O13=1,Actuals!P57,-(O19-O23))</f>
        <v>-208.6600833</v>
      </c>
      <c r="P22" s="116">
        <f>if(P13=1,Actuals!Q57,-(P19-P23))</f>
        <v>-211.8239833</v>
      </c>
      <c r="Q22" s="116">
        <f>if(Q13=1,Actuals!R57,-(Q19-Q23))</f>
        <v>-214.89565</v>
      </c>
      <c r="R22" s="116">
        <f>if(R13=1,Actuals!S57,-(R19-R23))</f>
        <v>-220.5822167</v>
      </c>
      <c r="S22" s="116">
        <f>if(S13=1,Actuals!T57,-(S19-S23))</f>
        <v>-227.9497833</v>
      </c>
      <c r="T22" s="116">
        <f>if(T13=1,Actuals!U57,-(T19-T23))</f>
        <v>-232.5782333</v>
      </c>
      <c r="U22" s="116">
        <f>if(U13=1,Actuals!V57,-(U19-U23))</f>
        <v>-231.6693833</v>
      </c>
      <c r="V22" s="116">
        <f>if(V13=1,Actuals!W57,-(V19-V23))</f>
        <v>-233.5768833</v>
      </c>
      <c r="W22" s="116">
        <f>if(W13=1,Actuals!X57,-(W19-W23))</f>
        <v>-233.4155833</v>
      </c>
      <c r="X22" s="116">
        <f>if(X13=1,Actuals!Y57,-(X19-X23))</f>
        <v>-236.1588</v>
      </c>
      <c r="Y22" s="116">
        <f>if(Y13=1,Actuals!Z57,-(Y19-Y23))</f>
        <v>-241.5415667</v>
      </c>
      <c r="Z22" s="116">
        <f>if(Z13=1,Actuals!AA57,-(Z19-Z23))</f>
        <v>-247.7410333</v>
      </c>
      <c r="AA22" s="116">
        <f>if(AA13=1,Actuals!AB57,-(AA19-AA23))</f>
        <v>-247.8805833</v>
      </c>
      <c r="AB22" s="116">
        <f>if(AB13=1,Actuals!AC57,-(AB19-AB23))</f>
        <v>-251.0330333</v>
      </c>
      <c r="AC22" s="116">
        <f>if(AC13=1,Actuals!AD57,-(AC19-AC23))</f>
        <v>-254.3854333</v>
      </c>
      <c r="AD22" s="116">
        <f>if(AD13=1,Actuals!AE57,-(AD19-AD23))</f>
        <v>-254.9793</v>
      </c>
      <c r="AE22" s="116">
        <f>if(AE13=1,Actuals!AF57,-(AE19-AE23))</f>
        <v>-335.0223453</v>
      </c>
      <c r="AF22" s="116">
        <f>if(AF13=1,Actuals!AG57,-(AF19-AF23))</f>
        <v>-344.0511795</v>
      </c>
      <c r="AG22" s="116">
        <f>if(AG13=1,Actuals!AH57,-(AG19-AG23))</f>
        <v>-353.4405459</v>
      </c>
      <c r="AH22" s="116">
        <f>if(AH13=1,Actuals!AI57,-(AH19-AH23))</f>
        <v>-362.3853234</v>
      </c>
      <c r="AI22" s="116">
        <f>if(AI13=1,Actuals!AJ57,-(AI19-AI23))</f>
        <v>-372.0772465</v>
      </c>
      <c r="AJ22" s="116">
        <f>if(AJ13=1,Actuals!AK57,-(AJ19-AJ23))</f>
        <v>-381.9366141</v>
      </c>
      <c r="AK22" s="116">
        <f>if(AK13=1,Actuals!AL57,-(AK19-AK23))</f>
        <v>-390.8474744</v>
      </c>
      <c r="AL22" s="116">
        <f>if(AL13=1,Actuals!AM57,-(AL19-AL23))</f>
        <v>-400.1405298</v>
      </c>
      <c r="AM22" s="116">
        <f>if(AM13=1,Actuals!AN57,-(AM19-AM23))</f>
        <v>-410.4158083</v>
      </c>
      <c r="AN22" s="116">
        <f>if(AN13=1,Actuals!AO57,-(AN19-AN23))</f>
        <v>-419.6416555</v>
      </c>
      <c r="AO22" s="116">
        <f>if(AO13=1,Actuals!AP57,-(AO19-AO23))</f>
        <v>-428.0219401</v>
      </c>
      <c r="AP22" s="116">
        <f>if(AP13=1,Actuals!AQ57,-(AP19-AP23))</f>
        <v>-436.9624581</v>
      </c>
      <c r="AQ22" s="116">
        <f>if(AQ13=1,Actuals!AR57,-(AQ19-AQ23))</f>
        <v>-446.3817688</v>
      </c>
      <c r="AR22" s="116">
        <f>if(AR13=1,Actuals!AS57,-(AR19-AR23))</f>
        <v>-455.7915399</v>
      </c>
      <c r="AS22" s="116">
        <f>if(AS13=1,Actuals!AT57,-(AS19-AS23))</f>
        <v>-465.2221482</v>
      </c>
      <c r="AT22" s="116">
        <f>if(AT13=1,Actuals!AU57,-(AT19-AT23))</f>
        <v>-474.67251</v>
      </c>
      <c r="AU22" s="116">
        <f>if(AU13=1,Actuals!AV57,-(AU19-AU23))</f>
        <v>-484.1088164</v>
      </c>
      <c r="AV22" s="116">
        <f>if(AV13=1,Actuals!AW57,-(AV19-AV23))</f>
        <v>-493.5712985</v>
      </c>
      <c r="AW22" s="116">
        <f>if(AW13=1,Actuals!AX57,-(AW19-AW23))</f>
        <v>-503.0324255</v>
      </c>
      <c r="AX22" s="116">
        <f>if(AX13=1,Actuals!AY57,-(AX19-AX23))</f>
        <v>-512.4719595</v>
      </c>
      <c r="AY22" s="116">
        <f>if(AY13=1,Actuals!AZ57,-(AY19-AY23))</f>
        <v>-521.9028295</v>
      </c>
      <c r="AZ22" s="116">
        <f>if(AZ13=1,Actuals!BA57,-(AZ19-AZ23))</f>
        <v>-531.3375972</v>
      </c>
      <c r="BA22" s="116">
        <f>if(BA13=1,Actuals!BB57,-(BA19-BA23))</f>
        <v>-540.7668071</v>
      </c>
      <c r="BB22" s="116">
        <f>if(BB13=1,Actuals!BC57,-(BB19-BB23))</f>
        <v>-550.2044876</v>
      </c>
      <c r="BC22" s="116">
        <f>if(BC13=1,Actuals!BD57,-(BC19-BC23))</f>
        <v>-559.6524893</v>
      </c>
      <c r="BD22" s="116">
        <f>if(BD13=1,Actuals!BE57,-(BD19-BD23))</f>
        <v>-569.1023831</v>
      </c>
      <c r="BE22" s="116">
        <f>if(BE13=1,Actuals!BF57,-(BE19-BE23))</f>
        <v>-578.5486062</v>
      </c>
      <c r="BF22" s="116">
        <f>if(BF13=1,Actuals!BG57,-(BF19-BF23))</f>
        <v>-587.9944484</v>
      </c>
      <c r="BG22" s="116">
        <f>if(BG13=1,Actuals!BH57,-(BG19-BG23))</f>
        <v>-597.4335028</v>
      </c>
      <c r="BH22" s="116">
        <f>if(BH13=1,Actuals!BI57,-(BH19-BH23))</f>
        <v>-606.8678697</v>
      </c>
      <c r="BI22" s="116">
        <f>if(BI13=1,Actuals!BJ57,-(BI19-BI23))</f>
        <v>-616.3039604</v>
      </c>
      <c r="BJ22" s="116">
        <f>if(BJ13=1,Actuals!BK57,-(BJ19-BJ23))</f>
        <v>-625.7438826</v>
      </c>
      <c r="BK22" s="116">
        <f>if(BK13=1,Actuals!BL57,-(BK19-BK23))</f>
        <v>-635.1861092</v>
      </c>
      <c r="BL22" s="116">
        <f>if(BL13=1,Actuals!BM57,-(BL19-BL23))</f>
        <v>-644.6316398</v>
      </c>
      <c r="BM22" s="116">
        <f>if(BM13=1,Actuals!BN57,-(BM19-BM23))</f>
        <v>-654.0774313</v>
      </c>
      <c r="BN22" s="116">
        <f>if(BN13=1,Actuals!BO57,-(BN19-BN23))</f>
        <v>-663.5205018</v>
      </c>
      <c r="BO22" s="116">
        <f>if(BO13=1,Actuals!BP57,-(BO19-BO23))</f>
        <v>-672.9608183</v>
      </c>
      <c r="BP22" s="116">
        <f>if(BP13=1,Actuals!BQ57,-(BP19-BP23))</f>
        <v>-682.3998773</v>
      </c>
      <c r="BQ22" s="116">
        <f>if(BQ13=1,Actuals!BR57,-(BQ19-BQ23))</f>
        <v>-691.8382119</v>
      </c>
      <c r="BR22" s="116">
        <f>if(BR13=1,Actuals!BS57,-(BR19-BR23))</f>
        <v>-701.2778381</v>
      </c>
      <c r="BS22" s="116">
        <f>if(BS13=1,Actuals!BT57,-(BS19-BS23))</f>
        <v>-710.7197485</v>
      </c>
      <c r="BT22" s="116">
        <f>if(BT13=1,Actuals!BU57,-(BT19-BT23))</f>
        <v>-720.1630565</v>
      </c>
      <c r="BU22" s="20"/>
    </row>
    <row r="23">
      <c r="A23" s="20"/>
      <c r="B23" s="186" t="s">
        <v>75</v>
      </c>
      <c r="C23" s="187"/>
      <c r="D23" s="187"/>
      <c r="E23" s="187"/>
      <c r="F23" s="188" t="s">
        <v>40</v>
      </c>
      <c r="G23" s="189">
        <f t="shared" ref="G23:K23" si="19">G19+G22</f>
        <v>12139.82689</v>
      </c>
      <c r="H23" s="189">
        <f t="shared" si="19"/>
        <v>16429.40475</v>
      </c>
      <c r="I23" s="189">
        <f t="shared" si="19"/>
        <v>21223.11179</v>
      </c>
      <c r="J23" s="189">
        <f t="shared" si="19"/>
        <v>26637.26162</v>
      </c>
      <c r="K23" s="189">
        <f t="shared" si="19"/>
        <v>32075.2923</v>
      </c>
      <c r="L23" s="20"/>
      <c r="M23" s="171">
        <f t="shared" ref="M23:BT23" si="20">M19*M24</f>
        <v>816.5866743</v>
      </c>
      <c r="N23" s="171">
        <f t="shared" si="20"/>
        <v>846.0919759</v>
      </c>
      <c r="O23" s="171">
        <f t="shared" si="20"/>
        <v>880.3623891</v>
      </c>
      <c r="P23" s="171">
        <f t="shared" si="20"/>
        <v>906.3732314</v>
      </c>
      <c r="Q23" s="171">
        <f t="shared" si="20"/>
        <v>928.6202505</v>
      </c>
      <c r="R23" s="171">
        <f t="shared" si="20"/>
        <v>966.9428461</v>
      </c>
      <c r="S23" s="171">
        <f t="shared" si="20"/>
        <v>1013.231615</v>
      </c>
      <c r="T23" s="171">
        <f t="shared" si="20"/>
        <v>1046.639512</v>
      </c>
      <c r="U23" s="171">
        <f t="shared" si="20"/>
        <v>1066.531953</v>
      </c>
      <c r="V23" s="171">
        <f t="shared" si="20"/>
        <v>1104.139927</v>
      </c>
      <c r="W23" s="171">
        <f t="shared" si="20"/>
        <v>1120.239279</v>
      </c>
      <c r="X23" s="171">
        <f t="shared" si="20"/>
        <v>1139.937696</v>
      </c>
      <c r="Y23" s="171">
        <f t="shared" si="20"/>
        <v>1174.107295</v>
      </c>
      <c r="Z23" s="171">
        <f t="shared" si="20"/>
        <v>1213.850947</v>
      </c>
      <c r="AA23" s="171">
        <f t="shared" si="20"/>
        <v>1230.201364</v>
      </c>
      <c r="AB23" s="171">
        <f t="shared" si="20"/>
        <v>1256.288991</v>
      </c>
      <c r="AC23" s="171">
        <f t="shared" si="20"/>
        <v>1284.405199</v>
      </c>
      <c r="AD23" s="171">
        <f t="shared" si="20"/>
        <v>1306.196348</v>
      </c>
      <c r="AE23" s="171">
        <f t="shared" si="20"/>
        <v>1340.089381</v>
      </c>
      <c r="AF23" s="171">
        <f t="shared" si="20"/>
        <v>1376.204718</v>
      </c>
      <c r="AG23" s="171">
        <f t="shared" si="20"/>
        <v>1413.762184</v>
      </c>
      <c r="AH23" s="171">
        <f t="shared" si="20"/>
        <v>1449.541294</v>
      </c>
      <c r="AI23" s="171">
        <f t="shared" si="20"/>
        <v>1488.308986</v>
      </c>
      <c r="AJ23" s="171">
        <f t="shared" si="20"/>
        <v>1527.746456</v>
      </c>
      <c r="AK23" s="171">
        <f t="shared" si="20"/>
        <v>1563.389898</v>
      </c>
      <c r="AL23" s="171">
        <f t="shared" si="20"/>
        <v>1600.562119</v>
      </c>
      <c r="AM23" s="171">
        <f t="shared" si="20"/>
        <v>1641.663233</v>
      </c>
      <c r="AN23" s="171">
        <f t="shared" si="20"/>
        <v>1678.566622</v>
      </c>
      <c r="AO23" s="171">
        <f t="shared" si="20"/>
        <v>1712.087761</v>
      </c>
      <c r="AP23" s="171">
        <f t="shared" si="20"/>
        <v>1747.849832</v>
      </c>
      <c r="AQ23" s="171">
        <f t="shared" si="20"/>
        <v>1785.527075</v>
      </c>
      <c r="AR23" s="171">
        <f t="shared" si="20"/>
        <v>1823.16616</v>
      </c>
      <c r="AS23" s="171">
        <f t="shared" si="20"/>
        <v>1860.888593</v>
      </c>
      <c r="AT23" s="171">
        <f t="shared" si="20"/>
        <v>1898.69004</v>
      </c>
      <c r="AU23" s="171">
        <f t="shared" si="20"/>
        <v>1936.435265</v>
      </c>
      <c r="AV23" s="171">
        <f t="shared" si="20"/>
        <v>1974.285194</v>
      </c>
      <c r="AW23" s="171">
        <f t="shared" si="20"/>
        <v>2012.129702</v>
      </c>
      <c r="AX23" s="171">
        <f t="shared" si="20"/>
        <v>2049.887838</v>
      </c>
      <c r="AY23" s="171">
        <f t="shared" si="20"/>
        <v>2087.611318</v>
      </c>
      <c r="AZ23" s="171">
        <f t="shared" si="20"/>
        <v>2125.350389</v>
      </c>
      <c r="BA23" s="171">
        <f t="shared" si="20"/>
        <v>2163.067228</v>
      </c>
      <c r="BB23" s="171">
        <f t="shared" si="20"/>
        <v>2200.81795</v>
      </c>
      <c r="BC23" s="171">
        <f t="shared" si="20"/>
        <v>2238.609957</v>
      </c>
      <c r="BD23" s="171">
        <f t="shared" si="20"/>
        <v>2276.409532</v>
      </c>
      <c r="BE23" s="171">
        <f t="shared" si="20"/>
        <v>2314.194425</v>
      </c>
      <c r="BF23" s="171">
        <f t="shared" si="20"/>
        <v>2351.977793</v>
      </c>
      <c r="BG23" s="171">
        <f t="shared" si="20"/>
        <v>2389.734011</v>
      </c>
      <c r="BH23" s="171">
        <f t="shared" si="20"/>
        <v>2427.471479</v>
      </c>
      <c r="BI23" s="171">
        <f t="shared" si="20"/>
        <v>2465.215841</v>
      </c>
      <c r="BJ23" s="171">
        <f t="shared" si="20"/>
        <v>2502.975531</v>
      </c>
      <c r="BK23" s="171">
        <f t="shared" si="20"/>
        <v>2540.744437</v>
      </c>
      <c r="BL23" s="171">
        <f t="shared" si="20"/>
        <v>2578.526559</v>
      </c>
      <c r="BM23" s="171">
        <f t="shared" si="20"/>
        <v>2616.309725</v>
      </c>
      <c r="BN23" s="171">
        <f t="shared" si="20"/>
        <v>2654.082007</v>
      </c>
      <c r="BO23" s="171">
        <f t="shared" si="20"/>
        <v>2691.843273</v>
      </c>
      <c r="BP23" s="171">
        <f t="shared" si="20"/>
        <v>2729.599509</v>
      </c>
      <c r="BQ23" s="171">
        <f t="shared" si="20"/>
        <v>2767.352848</v>
      </c>
      <c r="BR23" s="171">
        <f t="shared" si="20"/>
        <v>2805.111352</v>
      </c>
      <c r="BS23" s="171">
        <f t="shared" si="20"/>
        <v>2842.878994</v>
      </c>
      <c r="BT23" s="171">
        <f t="shared" si="20"/>
        <v>2880.652226</v>
      </c>
      <c r="BU23" s="20"/>
    </row>
    <row r="24">
      <c r="A24" s="20"/>
      <c r="B24" s="154" t="s">
        <v>37</v>
      </c>
      <c r="C24" s="173"/>
      <c r="D24" s="173"/>
      <c r="E24" s="173"/>
      <c r="F24" s="156" t="s">
        <v>38</v>
      </c>
      <c r="G24" s="175">
        <f t="shared" ref="G24:K24" si="21">AVERAGEIFS($M24:$BT24,$M$15:$BT$15,G$15)</f>
        <v>0.8</v>
      </c>
      <c r="H24" s="175">
        <f t="shared" si="21"/>
        <v>0.8</v>
      </c>
      <c r="I24" s="175">
        <f t="shared" si="21"/>
        <v>0.8</v>
      </c>
      <c r="J24" s="175">
        <f t="shared" si="21"/>
        <v>0.8</v>
      </c>
      <c r="K24" s="175">
        <f t="shared" si="21"/>
        <v>0.8</v>
      </c>
      <c r="L24" s="176"/>
      <c r="M24" s="177">
        <f>'Key Assumptions'!O32</f>
        <v>0.8</v>
      </c>
      <c r="N24" s="177">
        <f>'Key Assumptions'!P32</f>
        <v>0.8</v>
      </c>
      <c r="O24" s="177">
        <f>'Key Assumptions'!Q32</f>
        <v>0.8</v>
      </c>
      <c r="P24" s="177">
        <f>'Key Assumptions'!R32</f>
        <v>0.8</v>
      </c>
      <c r="Q24" s="177">
        <f>'Key Assumptions'!S32</f>
        <v>0.8</v>
      </c>
      <c r="R24" s="177">
        <f>'Key Assumptions'!T32</f>
        <v>0.8</v>
      </c>
      <c r="S24" s="177">
        <f>'Key Assumptions'!U32</f>
        <v>0.8</v>
      </c>
      <c r="T24" s="177">
        <f>'Key Assumptions'!V32</f>
        <v>0.8</v>
      </c>
      <c r="U24" s="177">
        <f>'Key Assumptions'!W32</f>
        <v>0.8</v>
      </c>
      <c r="V24" s="177">
        <f>'Key Assumptions'!X32</f>
        <v>0.8</v>
      </c>
      <c r="W24" s="177">
        <f>'Key Assumptions'!Y32</f>
        <v>0.8</v>
      </c>
      <c r="X24" s="177">
        <f>'Key Assumptions'!Z32</f>
        <v>0.8</v>
      </c>
      <c r="Y24" s="177">
        <f>'Key Assumptions'!AA32</f>
        <v>0.8</v>
      </c>
      <c r="Z24" s="177">
        <f>'Key Assumptions'!AB32</f>
        <v>0.8</v>
      </c>
      <c r="AA24" s="177">
        <f>'Key Assumptions'!AC32</f>
        <v>0.8</v>
      </c>
      <c r="AB24" s="177">
        <f>'Key Assumptions'!AD32</f>
        <v>0.8</v>
      </c>
      <c r="AC24" s="177">
        <f>'Key Assumptions'!AE32</f>
        <v>0.8</v>
      </c>
      <c r="AD24" s="177">
        <f>'Key Assumptions'!AF32</f>
        <v>0.8</v>
      </c>
      <c r="AE24" s="177">
        <f>'Key Assumptions'!AG32</f>
        <v>0.8</v>
      </c>
      <c r="AF24" s="177">
        <f>'Key Assumptions'!AH32</f>
        <v>0.8</v>
      </c>
      <c r="AG24" s="177">
        <f>'Key Assumptions'!AI32</f>
        <v>0.8</v>
      </c>
      <c r="AH24" s="177">
        <f>'Key Assumptions'!AJ32</f>
        <v>0.8</v>
      </c>
      <c r="AI24" s="177">
        <f>'Key Assumptions'!AK32</f>
        <v>0.8</v>
      </c>
      <c r="AJ24" s="177">
        <f>'Key Assumptions'!AL32</f>
        <v>0.8</v>
      </c>
      <c r="AK24" s="177">
        <f>'Key Assumptions'!AM32</f>
        <v>0.8</v>
      </c>
      <c r="AL24" s="177">
        <f>'Key Assumptions'!AN32</f>
        <v>0.8</v>
      </c>
      <c r="AM24" s="177">
        <f>'Key Assumptions'!AO32</f>
        <v>0.8</v>
      </c>
      <c r="AN24" s="177">
        <f>'Key Assumptions'!AP32</f>
        <v>0.8</v>
      </c>
      <c r="AO24" s="177">
        <f>'Key Assumptions'!AQ32</f>
        <v>0.8</v>
      </c>
      <c r="AP24" s="177">
        <f>'Key Assumptions'!AR32</f>
        <v>0.8</v>
      </c>
      <c r="AQ24" s="177">
        <f>'Key Assumptions'!AS32</f>
        <v>0.8</v>
      </c>
      <c r="AR24" s="177">
        <f>'Key Assumptions'!AT32</f>
        <v>0.8</v>
      </c>
      <c r="AS24" s="177">
        <f>'Key Assumptions'!AU32</f>
        <v>0.8</v>
      </c>
      <c r="AT24" s="177">
        <f>'Key Assumptions'!AV32</f>
        <v>0.8</v>
      </c>
      <c r="AU24" s="177">
        <f>'Key Assumptions'!AW32</f>
        <v>0.8</v>
      </c>
      <c r="AV24" s="177">
        <f>'Key Assumptions'!AX32</f>
        <v>0.8</v>
      </c>
      <c r="AW24" s="177">
        <f>'Key Assumptions'!AY32</f>
        <v>0.8</v>
      </c>
      <c r="AX24" s="177">
        <f>'Key Assumptions'!AZ32</f>
        <v>0.8</v>
      </c>
      <c r="AY24" s="177">
        <f>'Key Assumptions'!BA32</f>
        <v>0.8</v>
      </c>
      <c r="AZ24" s="177">
        <f>'Key Assumptions'!BB32</f>
        <v>0.8</v>
      </c>
      <c r="BA24" s="177">
        <f>'Key Assumptions'!BC32</f>
        <v>0.8</v>
      </c>
      <c r="BB24" s="177">
        <f>'Key Assumptions'!BD32</f>
        <v>0.8</v>
      </c>
      <c r="BC24" s="177">
        <f>'Key Assumptions'!BE32</f>
        <v>0.8</v>
      </c>
      <c r="BD24" s="177">
        <f>'Key Assumptions'!BF32</f>
        <v>0.8</v>
      </c>
      <c r="BE24" s="177">
        <f>'Key Assumptions'!BG32</f>
        <v>0.8</v>
      </c>
      <c r="BF24" s="177">
        <f>'Key Assumptions'!BH32</f>
        <v>0.8</v>
      </c>
      <c r="BG24" s="177">
        <f>'Key Assumptions'!BI32</f>
        <v>0.8</v>
      </c>
      <c r="BH24" s="177">
        <f>'Key Assumptions'!BJ32</f>
        <v>0.8</v>
      </c>
      <c r="BI24" s="177">
        <f>'Key Assumptions'!BK32</f>
        <v>0.8</v>
      </c>
      <c r="BJ24" s="177">
        <f>'Key Assumptions'!BL32</f>
        <v>0.8</v>
      </c>
      <c r="BK24" s="177">
        <f>'Key Assumptions'!BM32</f>
        <v>0.8</v>
      </c>
      <c r="BL24" s="177">
        <f>'Key Assumptions'!BN32</f>
        <v>0.8</v>
      </c>
      <c r="BM24" s="177">
        <f>'Key Assumptions'!BO32</f>
        <v>0.8</v>
      </c>
      <c r="BN24" s="177">
        <f>'Key Assumptions'!BP32</f>
        <v>0.8</v>
      </c>
      <c r="BO24" s="177">
        <f>'Key Assumptions'!BQ32</f>
        <v>0.8</v>
      </c>
      <c r="BP24" s="177">
        <f>'Key Assumptions'!BR32</f>
        <v>0.8</v>
      </c>
      <c r="BQ24" s="177">
        <f>'Key Assumptions'!BS32</f>
        <v>0.8</v>
      </c>
      <c r="BR24" s="177">
        <f>'Key Assumptions'!BT32</f>
        <v>0.8</v>
      </c>
      <c r="BS24" s="177">
        <f>'Key Assumptions'!BU32</f>
        <v>0.8</v>
      </c>
      <c r="BT24" s="177">
        <f>'Key Assumptions'!BV32</f>
        <v>0.8</v>
      </c>
      <c r="BU24" s="176"/>
    </row>
    <row r="25">
      <c r="A25" s="20"/>
      <c r="B25" s="109"/>
      <c r="C25" s="109"/>
      <c r="D25" s="109"/>
      <c r="E25" s="109"/>
      <c r="F25" s="141"/>
      <c r="G25" s="109"/>
      <c r="H25" s="109"/>
      <c r="I25" s="109"/>
      <c r="J25" s="109"/>
      <c r="K25" s="109"/>
      <c r="L25" s="20"/>
      <c r="M25" s="109"/>
      <c r="N25" s="109"/>
      <c r="O25" s="109"/>
      <c r="P25" s="109"/>
      <c r="Q25" s="109"/>
      <c r="R25" s="109"/>
      <c r="S25" s="109"/>
      <c r="T25" s="109"/>
      <c r="U25" s="109"/>
      <c r="V25" s="109"/>
      <c r="W25" s="109"/>
      <c r="X25" s="109"/>
      <c r="Y25" s="109"/>
      <c r="Z25" s="109"/>
      <c r="AA25" s="109"/>
      <c r="AB25" s="109"/>
      <c r="AC25" s="109"/>
      <c r="AD25" s="109"/>
      <c r="AE25" s="109"/>
      <c r="AF25" s="109"/>
      <c r="AG25" s="109"/>
      <c r="AH25" s="109"/>
      <c r="AI25" s="109"/>
      <c r="AJ25" s="109"/>
      <c r="AK25" s="109"/>
      <c r="AL25" s="109"/>
      <c r="AM25" s="109"/>
      <c r="AN25" s="109"/>
      <c r="AO25" s="109"/>
      <c r="AP25" s="109"/>
      <c r="AQ25" s="109"/>
      <c r="AR25" s="109"/>
      <c r="AS25" s="109"/>
      <c r="AT25" s="109"/>
      <c r="AU25" s="109"/>
      <c r="AV25" s="109"/>
      <c r="AW25" s="109"/>
      <c r="AX25" s="109"/>
      <c r="AY25" s="109"/>
      <c r="AZ25" s="109"/>
      <c r="BA25" s="109"/>
      <c r="BB25" s="109"/>
      <c r="BC25" s="109"/>
      <c r="BD25" s="109"/>
      <c r="BE25" s="109"/>
      <c r="BF25" s="109"/>
      <c r="BG25" s="109"/>
      <c r="BH25" s="109"/>
      <c r="BI25" s="109"/>
      <c r="BJ25" s="109"/>
      <c r="BK25" s="109"/>
      <c r="BL25" s="109"/>
      <c r="BM25" s="109"/>
      <c r="BN25" s="109"/>
      <c r="BO25" s="109"/>
      <c r="BP25" s="109"/>
      <c r="BQ25" s="109"/>
      <c r="BR25" s="109"/>
      <c r="BS25" s="109"/>
      <c r="BT25" s="109"/>
      <c r="BU25" s="20"/>
    </row>
    <row r="26">
      <c r="A26" s="20"/>
      <c r="B26" s="131" t="s">
        <v>76</v>
      </c>
      <c r="C26" s="109"/>
      <c r="D26" s="109"/>
      <c r="E26" s="109"/>
      <c r="F26" s="178"/>
      <c r="G26" s="109"/>
      <c r="H26" s="109"/>
      <c r="I26" s="109"/>
      <c r="J26" s="109"/>
      <c r="K26" s="109"/>
      <c r="L26" s="20"/>
      <c r="M26" s="109"/>
      <c r="N26" s="109"/>
      <c r="O26" s="109"/>
      <c r="P26" s="109"/>
      <c r="Q26" s="109"/>
      <c r="R26" s="109"/>
      <c r="S26" s="109"/>
      <c r="T26" s="109"/>
      <c r="U26" s="109"/>
      <c r="V26" s="109"/>
      <c r="W26" s="109"/>
      <c r="X26" s="109"/>
      <c r="Y26" s="109"/>
      <c r="Z26" s="109"/>
      <c r="AA26" s="109"/>
      <c r="AB26" s="109"/>
      <c r="AC26" s="109"/>
      <c r="AD26" s="109"/>
      <c r="AE26" s="109"/>
      <c r="AF26" s="109"/>
      <c r="AG26" s="109"/>
      <c r="AH26" s="109"/>
      <c r="AI26" s="109"/>
      <c r="AJ26" s="109"/>
      <c r="AK26" s="109"/>
      <c r="AL26" s="109"/>
      <c r="AM26" s="109"/>
      <c r="AN26" s="109"/>
      <c r="AO26" s="109"/>
      <c r="AP26" s="109"/>
      <c r="AQ26" s="109"/>
      <c r="AR26" s="109"/>
      <c r="AS26" s="109"/>
      <c r="AT26" s="109"/>
      <c r="AU26" s="109"/>
      <c r="AV26" s="109"/>
      <c r="AW26" s="109"/>
      <c r="AX26" s="109"/>
      <c r="AY26" s="109"/>
      <c r="AZ26" s="109"/>
      <c r="BA26" s="109"/>
      <c r="BB26" s="109"/>
      <c r="BC26" s="109"/>
      <c r="BD26" s="109"/>
      <c r="BE26" s="109"/>
      <c r="BF26" s="109"/>
      <c r="BG26" s="109"/>
      <c r="BH26" s="109"/>
      <c r="BI26" s="109"/>
      <c r="BJ26" s="109"/>
      <c r="BK26" s="109"/>
      <c r="BL26" s="109"/>
      <c r="BM26" s="109"/>
      <c r="BN26" s="109"/>
      <c r="BO26" s="109"/>
      <c r="BP26" s="109"/>
      <c r="BQ26" s="109"/>
      <c r="BR26" s="109"/>
      <c r="BS26" s="109"/>
      <c r="BT26" s="109"/>
      <c r="BU26" s="20"/>
    </row>
    <row r="27">
      <c r="A27" s="20"/>
      <c r="B27" s="162" t="str">
        <f>'Key Assumptions'!C33</f>
        <v>G&amp;A</v>
      </c>
      <c r="C27" s="163"/>
      <c r="D27" s="163"/>
      <c r="E27" s="163"/>
      <c r="F27" s="164" t="s">
        <v>40</v>
      </c>
      <c r="G27" s="112">
        <f t="shared" ref="G27:K27" si="22">SUMIFS($M27:$BT27,$M$15:$BT$15,G$15)</f>
        <v>3000</v>
      </c>
      <c r="H27" s="112">
        <f t="shared" si="22"/>
        <v>3031.0539</v>
      </c>
      <c r="I27" s="112">
        <f t="shared" si="22"/>
        <v>3089.791154</v>
      </c>
      <c r="J27" s="112">
        <f t="shared" si="22"/>
        <v>3127.073255</v>
      </c>
      <c r="K27" s="112">
        <f t="shared" si="22"/>
        <v>3164.805211</v>
      </c>
      <c r="L27" s="20"/>
      <c r="M27" s="112">
        <f>if(M$13=1,Actuals!N62,'Key Assumptions'!O33/1000)</f>
        <v>250</v>
      </c>
      <c r="N27" s="112">
        <f>if(N$13=1,Actuals!O62,'Key Assumptions'!P33/1000)</f>
        <v>250</v>
      </c>
      <c r="O27" s="112">
        <f>if(O$13=1,Actuals!P62,'Key Assumptions'!Q33/1000)</f>
        <v>250</v>
      </c>
      <c r="P27" s="112">
        <f>if(P$13=1,Actuals!Q62,'Key Assumptions'!R33/1000)</f>
        <v>250</v>
      </c>
      <c r="Q27" s="112">
        <f>if(Q$13=1,Actuals!R62,'Key Assumptions'!S33/1000)</f>
        <v>250</v>
      </c>
      <c r="R27" s="112">
        <f>if(R$13=1,Actuals!S62,'Key Assumptions'!T33/1000)</f>
        <v>250</v>
      </c>
      <c r="S27" s="112">
        <f>if(S$13=1,Actuals!T62,'Key Assumptions'!U33/1000)</f>
        <v>250</v>
      </c>
      <c r="T27" s="112">
        <f>if(T$13=1,Actuals!U62,'Key Assumptions'!V33/1000)</f>
        <v>250</v>
      </c>
      <c r="U27" s="112">
        <f>if(U$13=1,Actuals!V62,'Key Assumptions'!W33/1000)</f>
        <v>250</v>
      </c>
      <c r="V27" s="112">
        <f>if(V$13=1,Actuals!W62,'Key Assumptions'!X33/1000)</f>
        <v>250</v>
      </c>
      <c r="W27" s="112">
        <f>if(W$13=1,Actuals!X62,'Key Assumptions'!Y33/1000)</f>
        <v>250</v>
      </c>
      <c r="X27" s="112">
        <f>if(X$13=1,Actuals!Y62,'Key Assumptions'!Z33/1000)</f>
        <v>250</v>
      </c>
      <c r="Y27" s="112">
        <f>if(Y$13=1,Actuals!Z62,'Key Assumptions'!AA33/1000)</f>
        <v>250</v>
      </c>
      <c r="Z27" s="112">
        <f>if(Z$13=1,Actuals!AA62,'Key Assumptions'!AB33/1000)</f>
        <v>250</v>
      </c>
      <c r="AA27" s="112">
        <f>if(AA$13=1,Actuals!AB62,'Key Assumptions'!AC33/1000)</f>
        <v>250</v>
      </c>
      <c r="AB27" s="112">
        <f>if(AB$13=1,Actuals!AC62,'Key Assumptions'!AD33/1000)</f>
        <v>250</v>
      </c>
      <c r="AC27" s="112">
        <f>if(AC$13=1,Actuals!AD62,'Key Assumptions'!AE33/1000)</f>
        <v>250</v>
      </c>
      <c r="AD27" s="112">
        <f>if(AD$13=1,Actuals!AE62,'Key Assumptions'!AF33/1000)</f>
        <v>250</v>
      </c>
      <c r="AE27" s="112">
        <f>if(AE$13=1,Actuals!AF62,'Key Assumptions'!AG33)</f>
        <v>254.5384548</v>
      </c>
      <c r="AF27" s="112">
        <f>if(AF$13=1,Actuals!AG62,'Key Assumptions'!AH33)</f>
        <v>254.7929932</v>
      </c>
      <c r="AG27" s="112">
        <f>if(AG$13=1,Actuals!AH62,'Key Assumptions'!AI33)</f>
        <v>255.0477862</v>
      </c>
      <c r="AH27" s="112">
        <f>if(AH$13=1,Actuals!AI62,'Key Assumptions'!AJ33)</f>
        <v>255.302834</v>
      </c>
      <c r="AI27" s="112">
        <f>if(AI$13=1,Actuals!AJ62,'Key Assumptions'!AK33)</f>
        <v>255.5581368</v>
      </c>
      <c r="AJ27" s="112">
        <f>if(AJ$13=1,Actuals!AK62,'Key Assumptions'!AL33)</f>
        <v>255.813695</v>
      </c>
      <c r="AK27" s="112">
        <f>if(AK$13=1,Actuals!AL62,'Key Assumptions'!AM33)</f>
        <v>256.0695087</v>
      </c>
      <c r="AL27" s="112">
        <f>if(AL$13=1,Actuals!AM62,'Key Assumptions'!AN33)</f>
        <v>256.3255782</v>
      </c>
      <c r="AM27" s="112">
        <f>if(AM$13=1,Actuals!AN62,'Key Assumptions'!AO33)</f>
        <v>256.5819038</v>
      </c>
      <c r="AN27" s="112">
        <f>if(AN$13=1,Actuals!AO62,'Key Assumptions'!AP33)</f>
        <v>256.8384857</v>
      </c>
      <c r="AO27" s="112">
        <f>if(AO$13=1,Actuals!AP62,'Key Assumptions'!AQ33)</f>
        <v>257.0953241</v>
      </c>
      <c r="AP27" s="112">
        <f>if(AP$13=1,Actuals!AQ62,'Key Assumptions'!AR33)</f>
        <v>257.3524195</v>
      </c>
      <c r="AQ27" s="112">
        <f>if(AQ$13=1,Actuals!AR62,'Key Assumptions'!AS33)</f>
        <v>257.6097719</v>
      </c>
      <c r="AR27" s="112">
        <f>if(AR$13=1,Actuals!AS62,'Key Assumptions'!AT33)</f>
        <v>257.8673817</v>
      </c>
      <c r="AS27" s="112">
        <f>if(AS$13=1,Actuals!AT62,'Key Assumptions'!AU33)</f>
        <v>258.125249</v>
      </c>
      <c r="AT27" s="112">
        <f>if(AT$13=1,Actuals!AU62,'Key Assumptions'!AV33)</f>
        <v>258.3833743</v>
      </c>
      <c r="AU27" s="112">
        <f>if(AU$13=1,Actuals!AV62,'Key Assumptions'!AW33)</f>
        <v>258.6417577</v>
      </c>
      <c r="AV27" s="112">
        <f>if(AV$13=1,Actuals!AW62,'Key Assumptions'!AX33)</f>
        <v>258.9003994</v>
      </c>
      <c r="AW27" s="112">
        <f>if(AW$13=1,Actuals!AX62,'Key Assumptions'!AY33)</f>
        <v>259.1592998</v>
      </c>
      <c r="AX27" s="112">
        <f>if(AX$13=1,Actuals!AY62,'Key Assumptions'!AZ33)</f>
        <v>259.4184591</v>
      </c>
      <c r="AY27" s="112">
        <f>if(AY$13=1,Actuals!AZ62,'Key Assumptions'!BA33)</f>
        <v>259.6778776</v>
      </c>
      <c r="AZ27" s="112">
        <f>if(AZ$13=1,Actuals!BA62,'Key Assumptions'!BB33)</f>
        <v>259.9375555</v>
      </c>
      <c r="BA27" s="112">
        <f>if(BA$13=1,Actuals!BB62,'Key Assumptions'!BC33)</f>
        <v>260.197493</v>
      </c>
      <c r="BB27" s="112">
        <f>if(BB$13=1,Actuals!BC62,'Key Assumptions'!BD33)</f>
        <v>260.4576905</v>
      </c>
      <c r="BC27" s="112">
        <f>if(BC$13=1,Actuals!BD62,'Key Assumptions'!BE33)</f>
        <v>260.7181482</v>
      </c>
      <c r="BD27" s="112">
        <f>if(BD$13=1,Actuals!BE62,'Key Assumptions'!BF33)</f>
        <v>260.9788663</v>
      </c>
      <c r="BE27" s="112">
        <f>if(BE$13=1,Actuals!BF62,'Key Assumptions'!BG33)</f>
        <v>261.2398452</v>
      </c>
      <c r="BF27" s="112">
        <f>if(BF$13=1,Actuals!BG62,'Key Assumptions'!BH33)</f>
        <v>261.5010851</v>
      </c>
      <c r="BG27" s="112">
        <f>if(BG$13=1,Actuals!BH62,'Key Assumptions'!BI33)</f>
        <v>261.7625861</v>
      </c>
      <c r="BH27" s="112">
        <f>if(BH$13=1,Actuals!BI62,'Key Assumptions'!BJ33)</f>
        <v>262.0243487</v>
      </c>
      <c r="BI27" s="112">
        <f>if(BI$13=1,Actuals!BJ62,'Key Assumptions'!BK33)</f>
        <v>262.2863731</v>
      </c>
      <c r="BJ27" s="112">
        <f>if(BJ$13=1,Actuals!BK62,'Key Assumptions'!BL33)</f>
        <v>262.5486594</v>
      </c>
      <c r="BK27" s="112">
        <f>if(BK$13=1,Actuals!BL62,'Key Assumptions'!BM33)</f>
        <v>262.8112081</v>
      </c>
      <c r="BL27" s="112">
        <f>if(BL$13=1,Actuals!BM62,'Key Assumptions'!BN33)</f>
        <v>263.0740193</v>
      </c>
      <c r="BM27" s="112">
        <f>if(BM$13=1,Actuals!BN62,'Key Assumptions'!BO33)</f>
        <v>263.3370933</v>
      </c>
      <c r="BN27" s="112">
        <f>if(BN$13=1,Actuals!BO62,'Key Assumptions'!BP33)</f>
        <v>263.6004304</v>
      </c>
      <c r="BO27" s="112">
        <f>if(BO$13=1,Actuals!BP62,'Key Assumptions'!BQ33)</f>
        <v>263.8640309</v>
      </c>
      <c r="BP27" s="112">
        <f>if(BP$13=1,Actuals!BQ62,'Key Assumptions'!BR33)</f>
        <v>264.1278949</v>
      </c>
      <c r="BQ27" s="112">
        <f>if(BQ$13=1,Actuals!BR62,'Key Assumptions'!BS33)</f>
        <v>264.3920228</v>
      </c>
      <c r="BR27" s="112">
        <f>if(BR$13=1,Actuals!BS62,'Key Assumptions'!BT33)</f>
        <v>264.6564148</v>
      </c>
      <c r="BS27" s="112">
        <f>if(BS$13=1,Actuals!BT62,'Key Assumptions'!BU33)</f>
        <v>264.9210712</v>
      </c>
      <c r="BT27" s="112">
        <f>if(BT$13=1,Actuals!BU62,'Key Assumptions'!BV33)</f>
        <v>265.1859923</v>
      </c>
      <c r="BU27" s="20"/>
    </row>
    <row r="28">
      <c r="A28" s="20"/>
      <c r="B28" s="144" t="str">
        <f>'Key Assumptions'!C34</f>
        <v>S&amp;M</v>
      </c>
      <c r="C28" s="136"/>
      <c r="D28" s="136"/>
      <c r="E28" s="136"/>
      <c r="F28" s="179" t="s">
        <v>40</v>
      </c>
      <c r="G28" s="112">
        <f t="shared" ref="G28:K28" si="23">SUMIFS($M28:$BT28,$M$15:$BT$15,G$15)</f>
        <v>7200</v>
      </c>
      <c r="H28" s="112">
        <f t="shared" si="23"/>
        <v>7274.52936</v>
      </c>
      <c r="I28" s="112">
        <f t="shared" si="23"/>
        <v>7415.498769</v>
      </c>
      <c r="J28" s="112">
        <f t="shared" si="23"/>
        <v>7504.975812</v>
      </c>
      <c r="K28" s="112">
        <f t="shared" si="23"/>
        <v>7595.532505</v>
      </c>
      <c r="L28" s="20"/>
      <c r="M28" s="112">
        <f>if(M$13=1,Actuals!N63,'Key Assumptions'!O34/1000)</f>
        <v>600</v>
      </c>
      <c r="N28" s="112">
        <f>if(N$13=1,Actuals!O63,'Key Assumptions'!P34/1000)</f>
        <v>600</v>
      </c>
      <c r="O28" s="112">
        <f>if(O$13=1,Actuals!P63,'Key Assumptions'!Q34/1000)</f>
        <v>600</v>
      </c>
      <c r="P28" s="112">
        <f>if(P$13=1,Actuals!Q63,'Key Assumptions'!R34/1000)</f>
        <v>600</v>
      </c>
      <c r="Q28" s="112">
        <f>if(Q$13=1,Actuals!R63,'Key Assumptions'!S34/1000)</f>
        <v>600</v>
      </c>
      <c r="R28" s="112">
        <f>if(R$13=1,Actuals!S63,'Key Assumptions'!T34/1000)</f>
        <v>600</v>
      </c>
      <c r="S28" s="112">
        <f>if(S$13=1,Actuals!T63,'Key Assumptions'!U34/1000)</f>
        <v>600</v>
      </c>
      <c r="T28" s="112">
        <f>if(T$13=1,Actuals!U63,'Key Assumptions'!V34/1000)</f>
        <v>600</v>
      </c>
      <c r="U28" s="112">
        <f>if(U$13=1,Actuals!V63,'Key Assumptions'!W34/1000)</f>
        <v>600</v>
      </c>
      <c r="V28" s="112">
        <f>if(V$13=1,Actuals!W63,'Key Assumptions'!X34/1000)</f>
        <v>600</v>
      </c>
      <c r="W28" s="112">
        <f>if(W$13=1,Actuals!X63,'Key Assumptions'!Y34/1000)</f>
        <v>600</v>
      </c>
      <c r="X28" s="112">
        <f>if(X$13=1,Actuals!Y63,'Key Assumptions'!Z34/1000)</f>
        <v>600</v>
      </c>
      <c r="Y28" s="112">
        <f>if(Y$13=1,Actuals!Z63,'Key Assumptions'!AA34/1000)</f>
        <v>600</v>
      </c>
      <c r="Z28" s="112">
        <f>if(Z$13=1,Actuals!AA63,'Key Assumptions'!AB34/1000)</f>
        <v>600</v>
      </c>
      <c r="AA28" s="112">
        <f>if(AA$13=1,Actuals!AB63,'Key Assumptions'!AC34/1000)</f>
        <v>600</v>
      </c>
      <c r="AB28" s="112">
        <f>if(AB$13=1,Actuals!AC63,'Key Assumptions'!AD34/1000)</f>
        <v>600</v>
      </c>
      <c r="AC28" s="112">
        <f>if(AC$13=1,Actuals!AD63,'Key Assumptions'!AE34/1000)</f>
        <v>600</v>
      </c>
      <c r="AD28" s="112">
        <f>if(AD$13=1,Actuals!AE63,'Key Assumptions'!AF34/1000)</f>
        <v>600</v>
      </c>
      <c r="AE28" s="112">
        <f>if(AE$13=1,Actuals!AF63,'Key Assumptions'!AG34)</f>
        <v>610.8922914</v>
      </c>
      <c r="AF28" s="112">
        <f>if(AF$13=1,Actuals!AG63,'Key Assumptions'!AH34)</f>
        <v>611.5031837</v>
      </c>
      <c r="AG28" s="112">
        <f>if(AG$13=1,Actuals!AH63,'Key Assumptions'!AI34)</f>
        <v>612.1146869</v>
      </c>
      <c r="AH28" s="112">
        <f>if(AH$13=1,Actuals!AI63,'Key Assumptions'!AJ34)</f>
        <v>612.7268016</v>
      </c>
      <c r="AI28" s="112">
        <f>if(AI$13=1,Actuals!AJ63,'Key Assumptions'!AK34)</f>
        <v>613.3395284</v>
      </c>
      <c r="AJ28" s="112">
        <f>if(AJ$13=1,Actuals!AK63,'Key Assumptions'!AL34)</f>
        <v>613.9528679</v>
      </c>
      <c r="AK28" s="112">
        <f>if(AK$13=1,Actuals!AL63,'Key Assumptions'!AM34)</f>
        <v>614.5668208</v>
      </c>
      <c r="AL28" s="112">
        <f>if(AL$13=1,Actuals!AM63,'Key Assumptions'!AN34)</f>
        <v>615.1813876</v>
      </c>
      <c r="AM28" s="112">
        <f>if(AM$13=1,Actuals!AN63,'Key Assumptions'!AO34)</f>
        <v>615.796569</v>
      </c>
      <c r="AN28" s="112">
        <f>if(AN$13=1,Actuals!AO63,'Key Assumptions'!AP34)</f>
        <v>616.4123656</v>
      </c>
      <c r="AO28" s="112">
        <f>if(AO$13=1,Actuals!AP63,'Key Assumptions'!AQ34)</f>
        <v>617.0287779</v>
      </c>
      <c r="AP28" s="112">
        <f>if(AP$13=1,Actuals!AQ63,'Key Assumptions'!AR34)</f>
        <v>617.6458067</v>
      </c>
      <c r="AQ28" s="112">
        <f>if(AQ$13=1,Actuals!AR63,'Key Assumptions'!AS34)</f>
        <v>618.2634525</v>
      </c>
      <c r="AR28" s="112">
        <f>if(AR$13=1,Actuals!AS63,'Key Assumptions'!AT34)</f>
        <v>618.881716</v>
      </c>
      <c r="AS28" s="112">
        <f>if(AS$13=1,Actuals!AT63,'Key Assumptions'!AU34)</f>
        <v>619.5005977</v>
      </c>
      <c r="AT28" s="112">
        <f>if(AT$13=1,Actuals!AU63,'Key Assumptions'!AV34)</f>
        <v>620.1200983</v>
      </c>
      <c r="AU28" s="112">
        <f>if(AU$13=1,Actuals!AV63,'Key Assumptions'!AW34)</f>
        <v>620.7402184</v>
      </c>
      <c r="AV28" s="112">
        <f>if(AV$13=1,Actuals!AW63,'Key Assumptions'!AX34)</f>
        <v>621.3609586</v>
      </c>
      <c r="AW28" s="112">
        <f>if(AW$13=1,Actuals!AX63,'Key Assumptions'!AY34)</f>
        <v>621.9823196</v>
      </c>
      <c r="AX28" s="112">
        <f>if(AX$13=1,Actuals!AY63,'Key Assumptions'!AZ34)</f>
        <v>622.6043019</v>
      </c>
      <c r="AY28" s="112">
        <f>if(AY$13=1,Actuals!AZ63,'Key Assumptions'!BA34)</f>
        <v>623.2269062</v>
      </c>
      <c r="AZ28" s="112">
        <f>if(AZ$13=1,Actuals!BA63,'Key Assumptions'!BB34)</f>
        <v>623.8501331</v>
      </c>
      <c r="BA28" s="112">
        <f>if(BA$13=1,Actuals!BB63,'Key Assumptions'!BC34)</f>
        <v>624.4739832</v>
      </c>
      <c r="BB28" s="112">
        <f>if(BB$13=1,Actuals!BC63,'Key Assumptions'!BD34)</f>
        <v>625.0984572</v>
      </c>
      <c r="BC28" s="112">
        <f>if(BC$13=1,Actuals!BD63,'Key Assumptions'!BE34)</f>
        <v>625.7235557</v>
      </c>
      <c r="BD28" s="112">
        <f>if(BD$13=1,Actuals!BE63,'Key Assumptions'!BF34)</f>
        <v>626.3492792</v>
      </c>
      <c r="BE28" s="112">
        <f>if(BE$13=1,Actuals!BF63,'Key Assumptions'!BG34)</f>
        <v>626.9756285</v>
      </c>
      <c r="BF28" s="112">
        <f>if(BF$13=1,Actuals!BG63,'Key Assumptions'!BH34)</f>
        <v>627.6026041</v>
      </c>
      <c r="BG28" s="112">
        <f>if(BG$13=1,Actuals!BH63,'Key Assumptions'!BI34)</f>
        <v>628.2302067</v>
      </c>
      <c r="BH28" s="112">
        <f>if(BH$13=1,Actuals!BI63,'Key Assumptions'!BJ34)</f>
        <v>628.8584369</v>
      </c>
      <c r="BI28" s="112">
        <f>if(BI$13=1,Actuals!BJ63,'Key Assumptions'!BK34)</f>
        <v>629.4872954</v>
      </c>
      <c r="BJ28" s="112">
        <f>if(BJ$13=1,Actuals!BK63,'Key Assumptions'!BL34)</f>
        <v>630.1167827</v>
      </c>
      <c r="BK28" s="112">
        <f>if(BK$13=1,Actuals!BL63,'Key Assumptions'!BM34)</f>
        <v>630.7468995</v>
      </c>
      <c r="BL28" s="112">
        <f>if(BL$13=1,Actuals!BM63,'Key Assumptions'!BN34)</f>
        <v>631.3776464</v>
      </c>
      <c r="BM28" s="112">
        <f>if(BM$13=1,Actuals!BN63,'Key Assumptions'!BO34)</f>
        <v>632.009024</v>
      </c>
      <c r="BN28" s="112">
        <f>if(BN$13=1,Actuals!BO63,'Key Assumptions'!BP34)</f>
        <v>632.641033</v>
      </c>
      <c r="BO28" s="112">
        <f>if(BO$13=1,Actuals!BP63,'Key Assumptions'!BQ34)</f>
        <v>633.2736741</v>
      </c>
      <c r="BP28" s="112">
        <f>if(BP$13=1,Actuals!BQ63,'Key Assumptions'!BR34)</f>
        <v>633.9069477</v>
      </c>
      <c r="BQ28" s="112">
        <f>if(BQ$13=1,Actuals!BR63,'Key Assumptions'!BS34)</f>
        <v>634.5408547</v>
      </c>
      <c r="BR28" s="112">
        <f>if(BR$13=1,Actuals!BS63,'Key Assumptions'!BT34)</f>
        <v>635.1753955</v>
      </c>
      <c r="BS28" s="112">
        <f>if(BS$13=1,Actuals!BT63,'Key Assumptions'!BU34)</f>
        <v>635.8105709</v>
      </c>
      <c r="BT28" s="112">
        <f>if(BT$13=1,Actuals!BU63,'Key Assumptions'!BV34)</f>
        <v>636.4463815</v>
      </c>
      <c r="BU28" s="20"/>
    </row>
    <row r="29">
      <c r="A29" s="20"/>
      <c r="B29" s="238" t="str">
        <f>'Key Assumptions'!C35</f>
        <v>R&amp;D</v>
      </c>
      <c r="C29" s="239"/>
      <c r="D29" s="239"/>
      <c r="E29" s="239"/>
      <c r="F29" s="240" t="s">
        <v>40</v>
      </c>
      <c r="G29" s="185">
        <f t="shared" ref="G29:K29" si="24">SUMIFS($M29:$BT29,$M$15:$BT$15,G$15)</f>
        <v>4800</v>
      </c>
      <c r="H29" s="185">
        <f t="shared" si="24"/>
        <v>4849.68624</v>
      </c>
      <c r="I29" s="185">
        <f t="shared" si="24"/>
        <v>4943.665846</v>
      </c>
      <c r="J29" s="185">
        <f t="shared" si="24"/>
        <v>5003.317208</v>
      </c>
      <c r="K29" s="185">
        <f t="shared" si="24"/>
        <v>5063.688337</v>
      </c>
      <c r="L29" s="20"/>
      <c r="M29" s="185">
        <f>if(M$13=1,Actuals!N64,'Key Assumptions'!O35/1000)</f>
        <v>400</v>
      </c>
      <c r="N29" s="185">
        <f>if(N$13=1,Actuals!O64,'Key Assumptions'!P35/1000)</f>
        <v>400</v>
      </c>
      <c r="O29" s="185">
        <f>if(O$13=1,Actuals!P64,'Key Assumptions'!Q35/1000)</f>
        <v>400</v>
      </c>
      <c r="P29" s="185">
        <f>if(P$13=1,Actuals!Q64,'Key Assumptions'!R35/1000)</f>
        <v>400</v>
      </c>
      <c r="Q29" s="185">
        <f>if(Q$13=1,Actuals!R64,'Key Assumptions'!S35/1000)</f>
        <v>400</v>
      </c>
      <c r="R29" s="185">
        <f>if(R$13=1,Actuals!S64,'Key Assumptions'!T35/1000)</f>
        <v>400</v>
      </c>
      <c r="S29" s="185">
        <f>if(S$13=1,Actuals!T64,'Key Assumptions'!U35/1000)</f>
        <v>400</v>
      </c>
      <c r="T29" s="185">
        <f>if(T$13=1,Actuals!U64,'Key Assumptions'!V35/1000)</f>
        <v>400</v>
      </c>
      <c r="U29" s="185">
        <f>if(U$13=1,Actuals!V64,'Key Assumptions'!W35/1000)</f>
        <v>400</v>
      </c>
      <c r="V29" s="185">
        <f>if(V$13=1,Actuals!W64,'Key Assumptions'!X35/1000)</f>
        <v>400</v>
      </c>
      <c r="W29" s="185">
        <f>if(W$13=1,Actuals!X64,'Key Assumptions'!Y35/1000)</f>
        <v>400</v>
      </c>
      <c r="X29" s="185">
        <f>if(X$13=1,Actuals!Y64,'Key Assumptions'!Z35/1000)</f>
        <v>400</v>
      </c>
      <c r="Y29" s="185">
        <f>if(Y$13=1,Actuals!Z64,'Key Assumptions'!AA35/1000)</f>
        <v>400</v>
      </c>
      <c r="Z29" s="185">
        <f>if(Z$13=1,Actuals!AA64,'Key Assumptions'!AB35/1000)</f>
        <v>400</v>
      </c>
      <c r="AA29" s="185">
        <f>if(AA$13=1,Actuals!AB64,'Key Assumptions'!AC35/1000)</f>
        <v>400</v>
      </c>
      <c r="AB29" s="185">
        <f>if(AB$13=1,Actuals!AC64,'Key Assumptions'!AD35/1000)</f>
        <v>400</v>
      </c>
      <c r="AC29" s="185">
        <f>if(AC$13=1,Actuals!AD64,'Key Assumptions'!AE35/1000)</f>
        <v>400</v>
      </c>
      <c r="AD29" s="185">
        <f>if(AD$13=1,Actuals!AE64,'Key Assumptions'!AF35/1000)</f>
        <v>400</v>
      </c>
      <c r="AE29" s="185">
        <f>if(AE$13=1,Actuals!AF64,'Key Assumptions'!AG35)</f>
        <v>407.2615276</v>
      </c>
      <c r="AF29" s="185">
        <f>if(AF$13=1,Actuals!AG64,'Key Assumptions'!AH35)</f>
        <v>407.6687892</v>
      </c>
      <c r="AG29" s="185">
        <f>if(AG$13=1,Actuals!AH64,'Key Assumptions'!AI35)</f>
        <v>408.0764579</v>
      </c>
      <c r="AH29" s="185">
        <f>if(AH$13=1,Actuals!AI64,'Key Assumptions'!AJ35)</f>
        <v>408.4845344</v>
      </c>
      <c r="AI29" s="185">
        <f>if(AI$13=1,Actuals!AJ64,'Key Assumptions'!AK35)</f>
        <v>408.8930189</v>
      </c>
      <c r="AJ29" s="185">
        <f>if(AJ$13=1,Actuals!AK64,'Key Assumptions'!AL35)</f>
        <v>409.301912</v>
      </c>
      <c r="AK29" s="185">
        <f>if(AK$13=1,Actuals!AL64,'Key Assumptions'!AM35)</f>
        <v>409.7112139</v>
      </c>
      <c r="AL29" s="185">
        <f>if(AL$13=1,Actuals!AM64,'Key Assumptions'!AN35)</f>
        <v>410.1209251</v>
      </c>
      <c r="AM29" s="185">
        <f>if(AM$13=1,Actuals!AN64,'Key Assumptions'!AO35)</f>
        <v>410.531046</v>
      </c>
      <c r="AN29" s="185">
        <f>if(AN$13=1,Actuals!AO64,'Key Assumptions'!AP35)</f>
        <v>410.9415771</v>
      </c>
      <c r="AO29" s="185">
        <f>if(AO$13=1,Actuals!AP64,'Key Assumptions'!AQ35)</f>
        <v>411.3525186</v>
      </c>
      <c r="AP29" s="185">
        <f>if(AP$13=1,Actuals!AQ64,'Key Assumptions'!AR35)</f>
        <v>411.7638711</v>
      </c>
      <c r="AQ29" s="185">
        <f>if(AQ$13=1,Actuals!AR64,'Key Assumptions'!AS35)</f>
        <v>412.175635</v>
      </c>
      <c r="AR29" s="185">
        <f>if(AR$13=1,Actuals!AS64,'Key Assumptions'!AT35)</f>
        <v>412.5878107</v>
      </c>
      <c r="AS29" s="185">
        <f>if(AS$13=1,Actuals!AT64,'Key Assumptions'!AU35)</f>
        <v>413.0003985</v>
      </c>
      <c r="AT29" s="185">
        <f>if(AT$13=1,Actuals!AU64,'Key Assumptions'!AV35)</f>
        <v>413.4133989</v>
      </c>
      <c r="AU29" s="185">
        <f>if(AU$13=1,Actuals!AV64,'Key Assumptions'!AW35)</f>
        <v>413.8268123</v>
      </c>
      <c r="AV29" s="185">
        <f>if(AV$13=1,Actuals!AW64,'Key Assumptions'!AX35)</f>
        <v>414.2406391</v>
      </c>
      <c r="AW29" s="185">
        <f>if(AW$13=1,Actuals!AX64,'Key Assumptions'!AY35)</f>
        <v>414.6548797</v>
      </c>
      <c r="AX29" s="185">
        <f>if(AX$13=1,Actuals!AY64,'Key Assumptions'!AZ35)</f>
        <v>415.0695346</v>
      </c>
      <c r="AY29" s="185">
        <f>if(AY$13=1,Actuals!AZ64,'Key Assumptions'!BA35)</f>
        <v>415.4846041</v>
      </c>
      <c r="AZ29" s="185">
        <f>if(AZ$13=1,Actuals!BA64,'Key Assumptions'!BB35)</f>
        <v>415.9000887</v>
      </c>
      <c r="BA29" s="185">
        <f>if(BA$13=1,Actuals!BB64,'Key Assumptions'!BC35)</f>
        <v>416.3159888</v>
      </c>
      <c r="BB29" s="185">
        <f>if(BB$13=1,Actuals!BC64,'Key Assumptions'!BD35)</f>
        <v>416.7323048</v>
      </c>
      <c r="BC29" s="185">
        <f>if(BC$13=1,Actuals!BD64,'Key Assumptions'!BE35)</f>
        <v>417.1490371</v>
      </c>
      <c r="BD29" s="185">
        <f>if(BD$13=1,Actuals!BE64,'Key Assumptions'!BF35)</f>
        <v>417.5661862</v>
      </c>
      <c r="BE29" s="185">
        <f>if(BE$13=1,Actuals!BF64,'Key Assumptions'!BG35)</f>
        <v>417.9837523</v>
      </c>
      <c r="BF29" s="185">
        <f>if(BF$13=1,Actuals!BG64,'Key Assumptions'!BH35)</f>
        <v>418.4017361</v>
      </c>
      <c r="BG29" s="185">
        <f>if(BG$13=1,Actuals!BH64,'Key Assumptions'!BI35)</f>
        <v>418.8201378</v>
      </c>
      <c r="BH29" s="185">
        <f>if(BH$13=1,Actuals!BI64,'Key Assumptions'!BJ35)</f>
        <v>419.238958</v>
      </c>
      <c r="BI29" s="185">
        <f>if(BI$13=1,Actuals!BJ64,'Key Assumptions'!BK35)</f>
        <v>419.6581969</v>
      </c>
      <c r="BJ29" s="185">
        <f>if(BJ$13=1,Actuals!BK64,'Key Assumptions'!BL35)</f>
        <v>420.0778551</v>
      </c>
      <c r="BK29" s="185">
        <f>if(BK$13=1,Actuals!BL64,'Key Assumptions'!BM35)</f>
        <v>420.497933</v>
      </c>
      <c r="BL29" s="185">
        <f>if(BL$13=1,Actuals!BM64,'Key Assumptions'!BN35)</f>
        <v>420.9184309</v>
      </c>
      <c r="BM29" s="185">
        <f>if(BM$13=1,Actuals!BN64,'Key Assumptions'!BO35)</f>
        <v>421.3393493</v>
      </c>
      <c r="BN29" s="185">
        <f>if(BN$13=1,Actuals!BO64,'Key Assumptions'!BP35)</f>
        <v>421.7606887</v>
      </c>
      <c r="BO29" s="185">
        <f>if(BO$13=1,Actuals!BP64,'Key Assumptions'!BQ35)</f>
        <v>422.1824494</v>
      </c>
      <c r="BP29" s="185">
        <f>if(BP$13=1,Actuals!BQ64,'Key Assumptions'!BR35)</f>
        <v>422.6046318</v>
      </c>
      <c r="BQ29" s="185">
        <f>if(BQ$13=1,Actuals!BR64,'Key Assumptions'!BS35)</f>
        <v>423.0272365</v>
      </c>
      <c r="BR29" s="185">
        <f>if(BR$13=1,Actuals!BS64,'Key Assumptions'!BT35)</f>
        <v>423.4502637</v>
      </c>
      <c r="BS29" s="185">
        <f>if(BS$13=1,Actuals!BT64,'Key Assumptions'!BU35)</f>
        <v>423.873714</v>
      </c>
      <c r="BT29" s="185">
        <f>if(BT$13=1,Actuals!BU64,'Key Assumptions'!BV35)</f>
        <v>424.2975877</v>
      </c>
      <c r="BU29" s="20"/>
    </row>
    <row r="30">
      <c r="A30" s="20"/>
      <c r="B30" s="186" t="s">
        <v>77</v>
      </c>
      <c r="C30" s="187"/>
      <c r="D30" s="187"/>
      <c r="E30" s="187"/>
      <c r="F30" s="188" t="s">
        <v>40</v>
      </c>
      <c r="G30" s="189">
        <f t="shared" ref="G30:K30" si="25">sum(G27:G29)</f>
        <v>15000</v>
      </c>
      <c r="H30" s="189">
        <f t="shared" si="25"/>
        <v>15155.2695</v>
      </c>
      <c r="I30" s="189">
        <f t="shared" si="25"/>
        <v>15448.95577</v>
      </c>
      <c r="J30" s="189">
        <f t="shared" si="25"/>
        <v>15635.36628</v>
      </c>
      <c r="K30" s="189">
        <f t="shared" si="25"/>
        <v>15824.02605</v>
      </c>
      <c r="L30" s="20"/>
      <c r="M30" s="189">
        <f t="shared" ref="M30:BT30" si="26">sum(M27:M29)</f>
        <v>1250</v>
      </c>
      <c r="N30" s="189">
        <f t="shared" si="26"/>
        <v>1250</v>
      </c>
      <c r="O30" s="189">
        <f t="shared" si="26"/>
        <v>1250</v>
      </c>
      <c r="P30" s="189">
        <f t="shared" si="26"/>
        <v>1250</v>
      </c>
      <c r="Q30" s="189">
        <f t="shared" si="26"/>
        <v>1250</v>
      </c>
      <c r="R30" s="189">
        <f t="shared" si="26"/>
        <v>1250</v>
      </c>
      <c r="S30" s="189">
        <f t="shared" si="26"/>
        <v>1250</v>
      </c>
      <c r="T30" s="189">
        <f t="shared" si="26"/>
        <v>1250</v>
      </c>
      <c r="U30" s="189">
        <f t="shared" si="26"/>
        <v>1250</v>
      </c>
      <c r="V30" s="189">
        <f t="shared" si="26"/>
        <v>1250</v>
      </c>
      <c r="W30" s="189">
        <f t="shared" si="26"/>
        <v>1250</v>
      </c>
      <c r="X30" s="189">
        <f t="shared" si="26"/>
        <v>1250</v>
      </c>
      <c r="Y30" s="189">
        <f t="shared" si="26"/>
        <v>1250</v>
      </c>
      <c r="Z30" s="189">
        <f t="shared" si="26"/>
        <v>1250</v>
      </c>
      <c r="AA30" s="189">
        <f t="shared" si="26"/>
        <v>1250</v>
      </c>
      <c r="AB30" s="189">
        <f t="shared" si="26"/>
        <v>1250</v>
      </c>
      <c r="AC30" s="189">
        <f t="shared" si="26"/>
        <v>1250</v>
      </c>
      <c r="AD30" s="189">
        <f t="shared" si="26"/>
        <v>1250</v>
      </c>
      <c r="AE30" s="189">
        <f t="shared" si="26"/>
        <v>1272.692274</v>
      </c>
      <c r="AF30" s="189">
        <f t="shared" si="26"/>
        <v>1273.964966</v>
      </c>
      <c r="AG30" s="189">
        <f t="shared" si="26"/>
        <v>1275.238931</v>
      </c>
      <c r="AH30" s="189">
        <f t="shared" si="26"/>
        <v>1276.51417</v>
      </c>
      <c r="AI30" s="189">
        <f t="shared" si="26"/>
        <v>1277.790684</v>
      </c>
      <c r="AJ30" s="189">
        <f t="shared" si="26"/>
        <v>1279.068475</v>
      </c>
      <c r="AK30" s="189">
        <f t="shared" si="26"/>
        <v>1280.347543</v>
      </c>
      <c r="AL30" s="189">
        <f t="shared" si="26"/>
        <v>1281.627891</v>
      </c>
      <c r="AM30" s="189">
        <f t="shared" si="26"/>
        <v>1282.909519</v>
      </c>
      <c r="AN30" s="189">
        <f t="shared" si="26"/>
        <v>1284.192428</v>
      </c>
      <c r="AO30" s="189">
        <f t="shared" si="26"/>
        <v>1285.476621</v>
      </c>
      <c r="AP30" s="189">
        <f t="shared" si="26"/>
        <v>1286.762097</v>
      </c>
      <c r="AQ30" s="189">
        <f t="shared" si="26"/>
        <v>1288.048859</v>
      </c>
      <c r="AR30" s="189">
        <f t="shared" si="26"/>
        <v>1289.336908</v>
      </c>
      <c r="AS30" s="189">
        <f t="shared" si="26"/>
        <v>1290.626245</v>
      </c>
      <c r="AT30" s="189">
        <f t="shared" si="26"/>
        <v>1291.916871</v>
      </c>
      <c r="AU30" s="189">
        <f t="shared" si="26"/>
        <v>1293.208788</v>
      </c>
      <c r="AV30" s="189">
        <f t="shared" si="26"/>
        <v>1294.501997</v>
      </c>
      <c r="AW30" s="189">
        <f t="shared" si="26"/>
        <v>1295.796499</v>
      </c>
      <c r="AX30" s="189">
        <f t="shared" si="26"/>
        <v>1297.092296</v>
      </c>
      <c r="AY30" s="189">
        <f t="shared" si="26"/>
        <v>1298.389388</v>
      </c>
      <c r="AZ30" s="189">
        <f t="shared" si="26"/>
        <v>1299.687777</v>
      </c>
      <c r="BA30" s="189">
        <f t="shared" si="26"/>
        <v>1300.987465</v>
      </c>
      <c r="BB30" s="189">
        <f t="shared" si="26"/>
        <v>1302.288453</v>
      </c>
      <c r="BC30" s="189">
        <f t="shared" si="26"/>
        <v>1303.590741</v>
      </c>
      <c r="BD30" s="189">
        <f t="shared" si="26"/>
        <v>1304.894332</v>
      </c>
      <c r="BE30" s="189">
        <f t="shared" si="26"/>
        <v>1306.199226</v>
      </c>
      <c r="BF30" s="189">
        <f t="shared" si="26"/>
        <v>1307.505425</v>
      </c>
      <c r="BG30" s="189">
        <f t="shared" si="26"/>
        <v>1308.812931</v>
      </c>
      <c r="BH30" s="189">
        <f t="shared" si="26"/>
        <v>1310.121744</v>
      </c>
      <c r="BI30" s="189">
        <f t="shared" si="26"/>
        <v>1311.431865</v>
      </c>
      <c r="BJ30" s="189">
        <f t="shared" si="26"/>
        <v>1312.743297</v>
      </c>
      <c r="BK30" s="189">
        <f t="shared" si="26"/>
        <v>1314.056041</v>
      </c>
      <c r="BL30" s="189">
        <f t="shared" si="26"/>
        <v>1315.370097</v>
      </c>
      <c r="BM30" s="189">
        <f t="shared" si="26"/>
        <v>1316.685467</v>
      </c>
      <c r="BN30" s="189">
        <f t="shared" si="26"/>
        <v>1318.002152</v>
      </c>
      <c r="BO30" s="189">
        <f t="shared" si="26"/>
        <v>1319.320154</v>
      </c>
      <c r="BP30" s="189">
        <f t="shared" si="26"/>
        <v>1320.639474</v>
      </c>
      <c r="BQ30" s="189">
        <f t="shared" si="26"/>
        <v>1321.960114</v>
      </c>
      <c r="BR30" s="189">
        <f t="shared" si="26"/>
        <v>1323.282074</v>
      </c>
      <c r="BS30" s="189">
        <f t="shared" si="26"/>
        <v>1324.605356</v>
      </c>
      <c r="BT30" s="189">
        <f t="shared" si="26"/>
        <v>1325.929961</v>
      </c>
      <c r="BU30" s="20"/>
    </row>
    <row r="31">
      <c r="A31" s="20"/>
      <c r="B31" s="109"/>
      <c r="C31" s="109"/>
      <c r="D31" s="109"/>
      <c r="E31" s="109"/>
      <c r="F31" s="178"/>
      <c r="G31" s="109"/>
      <c r="H31" s="109"/>
      <c r="I31" s="109"/>
      <c r="J31" s="109"/>
      <c r="K31" s="109"/>
      <c r="L31" s="20"/>
      <c r="M31" s="109"/>
      <c r="N31" s="109"/>
      <c r="O31" s="109"/>
      <c r="P31" s="109"/>
      <c r="Q31" s="109"/>
      <c r="R31" s="109"/>
      <c r="S31" s="109"/>
      <c r="T31" s="109"/>
      <c r="U31" s="109"/>
      <c r="V31" s="109"/>
      <c r="W31" s="109"/>
      <c r="X31" s="109"/>
      <c r="Y31" s="109"/>
      <c r="Z31" s="109"/>
      <c r="AA31" s="109"/>
      <c r="AB31" s="109"/>
      <c r="AC31" s="109"/>
      <c r="AD31" s="109"/>
      <c r="AE31" s="109"/>
      <c r="AF31" s="109"/>
      <c r="AG31" s="109"/>
      <c r="AH31" s="109"/>
      <c r="AI31" s="109"/>
      <c r="AJ31" s="109"/>
      <c r="AK31" s="109"/>
      <c r="AL31" s="109"/>
      <c r="AM31" s="109"/>
      <c r="AN31" s="109"/>
      <c r="AO31" s="109"/>
      <c r="AP31" s="109"/>
      <c r="AQ31" s="109"/>
      <c r="AR31" s="109"/>
      <c r="AS31" s="109"/>
      <c r="AT31" s="109"/>
      <c r="AU31" s="109"/>
      <c r="AV31" s="109"/>
      <c r="AW31" s="109"/>
      <c r="AX31" s="109"/>
      <c r="AY31" s="109"/>
      <c r="AZ31" s="109"/>
      <c r="BA31" s="109"/>
      <c r="BB31" s="109"/>
      <c r="BC31" s="109"/>
      <c r="BD31" s="109"/>
      <c r="BE31" s="109"/>
      <c r="BF31" s="109"/>
      <c r="BG31" s="109"/>
      <c r="BH31" s="109"/>
      <c r="BI31" s="109"/>
      <c r="BJ31" s="109"/>
      <c r="BK31" s="109"/>
      <c r="BL31" s="109"/>
      <c r="BM31" s="109"/>
      <c r="BN31" s="109"/>
      <c r="BO31" s="109"/>
      <c r="BP31" s="109"/>
      <c r="BQ31" s="109"/>
      <c r="BR31" s="109"/>
      <c r="BS31" s="109"/>
      <c r="BT31" s="109"/>
      <c r="BU31" s="20"/>
    </row>
    <row r="32">
      <c r="A32" s="20"/>
      <c r="B32" s="191" t="s">
        <v>78</v>
      </c>
      <c r="C32" s="192"/>
      <c r="D32" s="192"/>
      <c r="E32" s="192"/>
      <c r="F32" s="193" t="s">
        <v>40</v>
      </c>
      <c r="G32" s="172">
        <f t="shared" ref="G32:K32" si="27">G23-G30</f>
        <v>-2860.173113</v>
      </c>
      <c r="H32" s="172">
        <f t="shared" si="27"/>
        <v>1274.135248</v>
      </c>
      <c r="I32" s="172">
        <f t="shared" si="27"/>
        <v>5774.156023</v>
      </c>
      <c r="J32" s="172">
        <f t="shared" si="27"/>
        <v>11001.89535</v>
      </c>
      <c r="K32" s="172">
        <f t="shared" si="27"/>
        <v>16251.26625</v>
      </c>
      <c r="L32" s="20"/>
      <c r="M32" s="172">
        <f t="shared" ref="M32:BT32" si="28">M23-M30</f>
        <v>-433.4133257</v>
      </c>
      <c r="N32" s="172">
        <f t="shared" si="28"/>
        <v>-403.9080241</v>
      </c>
      <c r="O32" s="172">
        <f t="shared" si="28"/>
        <v>-369.6376109</v>
      </c>
      <c r="P32" s="172">
        <f t="shared" si="28"/>
        <v>-343.6267686</v>
      </c>
      <c r="Q32" s="172">
        <f t="shared" si="28"/>
        <v>-321.3797495</v>
      </c>
      <c r="R32" s="172">
        <f t="shared" si="28"/>
        <v>-283.0571539</v>
      </c>
      <c r="S32" s="172">
        <f t="shared" si="28"/>
        <v>-236.768385</v>
      </c>
      <c r="T32" s="172">
        <f t="shared" si="28"/>
        <v>-203.3604881</v>
      </c>
      <c r="U32" s="172">
        <f t="shared" si="28"/>
        <v>-183.4680467</v>
      </c>
      <c r="V32" s="172">
        <f t="shared" si="28"/>
        <v>-145.8600731</v>
      </c>
      <c r="W32" s="172">
        <f t="shared" si="28"/>
        <v>-129.760721</v>
      </c>
      <c r="X32" s="172">
        <f t="shared" si="28"/>
        <v>-110.0623037</v>
      </c>
      <c r="Y32" s="172">
        <f t="shared" si="28"/>
        <v>-75.89270543</v>
      </c>
      <c r="Z32" s="172">
        <f t="shared" si="28"/>
        <v>-36.14905316</v>
      </c>
      <c r="AA32" s="172">
        <f t="shared" si="28"/>
        <v>-19.79863583</v>
      </c>
      <c r="AB32" s="172">
        <f t="shared" si="28"/>
        <v>6.288990896</v>
      </c>
      <c r="AC32" s="172">
        <f t="shared" si="28"/>
        <v>34.40519883</v>
      </c>
      <c r="AD32" s="172">
        <f t="shared" si="28"/>
        <v>56.19634831</v>
      </c>
      <c r="AE32" s="172">
        <f t="shared" si="28"/>
        <v>67.39710736</v>
      </c>
      <c r="AF32" s="172">
        <f t="shared" si="28"/>
        <v>102.2397519</v>
      </c>
      <c r="AG32" s="172">
        <f t="shared" si="28"/>
        <v>138.5232524</v>
      </c>
      <c r="AH32" s="172">
        <f t="shared" si="28"/>
        <v>173.0271236</v>
      </c>
      <c r="AI32" s="172">
        <f t="shared" si="28"/>
        <v>210.518302</v>
      </c>
      <c r="AJ32" s="172">
        <f t="shared" si="28"/>
        <v>248.6779815</v>
      </c>
      <c r="AK32" s="172">
        <f t="shared" si="28"/>
        <v>283.0423544</v>
      </c>
      <c r="AL32" s="172">
        <f t="shared" si="28"/>
        <v>318.9342281</v>
      </c>
      <c r="AM32" s="172">
        <f t="shared" si="28"/>
        <v>358.7537145</v>
      </c>
      <c r="AN32" s="172">
        <f t="shared" si="28"/>
        <v>394.3741937</v>
      </c>
      <c r="AO32" s="172">
        <f t="shared" si="28"/>
        <v>426.6111398</v>
      </c>
      <c r="AP32" s="172">
        <f t="shared" si="28"/>
        <v>461.0877351</v>
      </c>
      <c r="AQ32" s="172">
        <f t="shared" si="28"/>
        <v>497.4782156</v>
      </c>
      <c r="AR32" s="172">
        <f t="shared" si="28"/>
        <v>533.8292514</v>
      </c>
      <c r="AS32" s="172">
        <f t="shared" si="28"/>
        <v>570.2623478</v>
      </c>
      <c r="AT32" s="172">
        <f t="shared" si="28"/>
        <v>606.7731686</v>
      </c>
      <c r="AU32" s="172">
        <f t="shared" si="28"/>
        <v>643.2264771</v>
      </c>
      <c r="AV32" s="172">
        <f t="shared" si="28"/>
        <v>679.7831967</v>
      </c>
      <c r="AW32" s="172">
        <f t="shared" si="28"/>
        <v>716.3332029</v>
      </c>
      <c r="AX32" s="172">
        <f t="shared" si="28"/>
        <v>752.7955425</v>
      </c>
      <c r="AY32" s="172">
        <f t="shared" si="28"/>
        <v>789.2219299</v>
      </c>
      <c r="AZ32" s="172">
        <f t="shared" si="28"/>
        <v>825.6626114</v>
      </c>
      <c r="BA32" s="172">
        <f t="shared" si="28"/>
        <v>862.0797633</v>
      </c>
      <c r="BB32" s="172">
        <f t="shared" si="28"/>
        <v>898.5294978</v>
      </c>
      <c r="BC32" s="172">
        <f t="shared" si="28"/>
        <v>935.0192162</v>
      </c>
      <c r="BD32" s="172">
        <f t="shared" si="28"/>
        <v>971.5152006</v>
      </c>
      <c r="BE32" s="172">
        <f t="shared" si="28"/>
        <v>1007.995199</v>
      </c>
      <c r="BF32" s="172">
        <f t="shared" si="28"/>
        <v>1044.472368</v>
      </c>
      <c r="BG32" s="172">
        <f t="shared" si="28"/>
        <v>1080.92108</v>
      </c>
      <c r="BH32" s="172">
        <f t="shared" si="28"/>
        <v>1117.349735</v>
      </c>
      <c r="BI32" s="172">
        <f t="shared" si="28"/>
        <v>1153.783976</v>
      </c>
      <c r="BJ32" s="172">
        <f t="shared" si="28"/>
        <v>1190.232233</v>
      </c>
      <c r="BK32" s="172">
        <f t="shared" si="28"/>
        <v>1226.688396</v>
      </c>
      <c r="BL32" s="172">
        <f t="shared" si="28"/>
        <v>1263.156463</v>
      </c>
      <c r="BM32" s="172">
        <f t="shared" si="28"/>
        <v>1299.624258</v>
      </c>
      <c r="BN32" s="172">
        <f t="shared" si="28"/>
        <v>1336.079855</v>
      </c>
      <c r="BO32" s="172">
        <f t="shared" si="28"/>
        <v>1372.523119</v>
      </c>
      <c r="BP32" s="172">
        <f t="shared" si="28"/>
        <v>1408.960035</v>
      </c>
      <c r="BQ32" s="172">
        <f t="shared" si="28"/>
        <v>1445.392734</v>
      </c>
      <c r="BR32" s="172">
        <f t="shared" si="28"/>
        <v>1481.829278</v>
      </c>
      <c r="BS32" s="172">
        <f t="shared" si="28"/>
        <v>1518.273638</v>
      </c>
      <c r="BT32" s="172">
        <f t="shared" si="28"/>
        <v>1554.722265</v>
      </c>
      <c r="BU32" s="20"/>
    </row>
    <row r="33">
      <c r="A33" s="20"/>
      <c r="B33" s="154" t="s">
        <v>79</v>
      </c>
      <c r="C33" s="173"/>
      <c r="D33" s="173"/>
      <c r="E33" s="173"/>
      <c r="F33" s="194" t="s">
        <v>38</v>
      </c>
      <c r="G33" s="157">
        <f t="shared" ref="G33:K33" si="29">G32/G19</f>
        <v>-0.1933251943</v>
      </c>
      <c r="H33" s="157">
        <f t="shared" si="29"/>
        <v>0.06346597583</v>
      </c>
      <c r="I33" s="157">
        <f t="shared" si="29"/>
        <v>0.2176553968</v>
      </c>
      <c r="J33" s="157">
        <f t="shared" si="29"/>
        <v>0.3304212123</v>
      </c>
      <c r="K33" s="157">
        <f t="shared" si="29"/>
        <v>0.4053279664</v>
      </c>
      <c r="L33" s="176"/>
      <c r="M33" s="157">
        <f t="shared" ref="M33:BT33" si="30">M32/M19</f>
        <v>-0.4246097462</v>
      </c>
      <c r="N33" s="157">
        <f t="shared" si="30"/>
        <v>-0.3819046019</v>
      </c>
      <c r="O33" s="157">
        <f t="shared" si="30"/>
        <v>-0.3358958678</v>
      </c>
      <c r="P33" s="157">
        <f t="shared" si="30"/>
        <v>-0.3032982499</v>
      </c>
      <c r="Q33" s="157">
        <f t="shared" si="30"/>
        <v>-0.276866458</v>
      </c>
      <c r="R33" s="157">
        <f t="shared" si="30"/>
        <v>-0.2341872883</v>
      </c>
      <c r="S33" s="157">
        <f t="shared" si="30"/>
        <v>-0.1869411744</v>
      </c>
      <c r="T33" s="157">
        <f t="shared" si="30"/>
        <v>-0.1554388007</v>
      </c>
      <c r="U33" s="157">
        <f t="shared" si="30"/>
        <v>-0.1376184154</v>
      </c>
      <c r="V33" s="157">
        <f t="shared" si="30"/>
        <v>-0.1056823104</v>
      </c>
      <c r="W33" s="157">
        <f t="shared" si="30"/>
        <v>-0.09266643185</v>
      </c>
      <c r="X33" s="157">
        <f t="shared" si="30"/>
        <v>-0.07724092573</v>
      </c>
      <c r="Y33" s="157">
        <f t="shared" si="30"/>
        <v>-0.05171091656</v>
      </c>
      <c r="Z33" s="157">
        <f t="shared" si="30"/>
        <v>-0.02382437696</v>
      </c>
      <c r="AA33" s="157">
        <f t="shared" si="30"/>
        <v>-0.01287505373</v>
      </c>
      <c r="AB33" s="157">
        <f t="shared" si="30"/>
        <v>0.004004805226</v>
      </c>
      <c r="AC33" s="157">
        <f t="shared" si="30"/>
        <v>0.02142949833</v>
      </c>
      <c r="AD33" s="157">
        <f t="shared" si="30"/>
        <v>0.03441831598</v>
      </c>
      <c r="AE33" s="157">
        <f t="shared" si="30"/>
        <v>0.04023439529</v>
      </c>
      <c r="AF33" s="157">
        <f t="shared" si="30"/>
        <v>0.05943287396</v>
      </c>
      <c r="AG33" s="157">
        <f t="shared" si="30"/>
        <v>0.07838560349</v>
      </c>
      <c r="AH33" s="157">
        <f t="shared" si="30"/>
        <v>0.0954934499</v>
      </c>
      <c r="AI33" s="157">
        <f t="shared" si="30"/>
        <v>0.1131583852</v>
      </c>
      <c r="AJ33" s="157">
        <f t="shared" si="30"/>
        <v>0.1302195036</v>
      </c>
      <c r="AK33" s="157">
        <f t="shared" si="30"/>
        <v>0.1448351968</v>
      </c>
      <c r="AL33" s="157">
        <f t="shared" si="30"/>
        <v>0.1594111091</v>
      </c>
      <c r="AM33" s="157">
        <f t="shared" si="30"/>
        <v>0.1748245108</v>
      </c>
      <c r="AN33" s="157">
        <f t="shared" si="30"/>
        <v>0.1879576007</v>
      </c>
      <c r="AO33" s="157">
        <f t="shared" si="30"/>
        <v>0.1993407813</v>
      </c>
      <c r="AP33" s="157">
        <f t="shared" si="30"/>
        <v>0.2110422653</v>
      </c>
      <c r="AQ33" s="157">
        <f t="shared" si="30"/>
        <v>0.2228936083</v>
      </c>
      <c r="AR33" s="157">
        <f t="shared" si="30"/>
        <v>0.2342427205</v>
      </c>
      <c r="AS33" s="157">
        <f t="shared" si="30"/>
        <v>0.2451570072</v>
      </c>
      <c r="AT33" s="157">
        <f t="shared" si="30"/>
        <v>0.2556597047</v>
      </c>
      <c r="AU33" s="157">
        <f t="shared" si="30"/>
        <v>0.2657363202</v>
      </c>
      <c r="AV33" s="157">
        <f t="shared" si="30"/>
        <v>0.2754549135</v>
      </c>
      <c r="AW33" s="157">
        <f t="shared" si="30"/>
        <v>0.2848059753</v>
      </c>
      <c r="AX33" s="157">
        <f t="shared" si="30"/>
        <v>0.2937899444</v>
      </c>
      <c r="AY33" s="157">
        <f t="shared" si="30"/>
        <v>0.3024401806</v>
      </c>
      <c r="AZ33" s="157">
        <f t="shared" si="30"/>
        <v>0.3107864438</v>
      </c>
      <c r="BA33" s="157">
        <f t="shared" si="30"/>
        <v>0.3188360498</v>
      </c>
      <c r="BB33" s="157">
        <f t="shared" si="30"/>
        <v>0.3266165646</v>
      </c>
      <c r="BC33" s="157">
        <f t="shared" si="30"/>
        <v>0.3341427883</v>
      </c>
      <c r="BD33" s="157">
        <f t="shared" si="30"/>
        <v>0.3414201836</v>
      </c>
      <c r="BE33" s="157">
        <f t="shared" si="30"/>
        <v>0.34845653</v>
      </c>
      <c r="BF33" s="157">
        <f t="shared" si="30"/>
        <v>0.3552660645</v>
      </c>
      <c r="BG33" s="157">
        <f t="shared" si="30"/>
        <v>0.3618548593</v>
      </c>
      <c r="BH33" s="157">
        <f t="shared" si="30"/>
        <v>0.3682349292</v>
      </c>
      <c r="BI33" s="157">
        <f t="shared" si="30"/>
        <v>0.3744204322</v>
      </c>
      <c r="BJ33" s="157">
        <f t="shared" si="30"/>
        <v>0.3804215323</v>
      </c>
      <c r="BK33" s="157">
        <f t="shared" si="30"/>
        <v>0.3862453472</v>
      </c>
      <c r="BL33" s="157">
        <f t="shared" si="30"/>
        <v>0.3919002372</v>
      </c>
      <c r="BM33" s="157">
        <f t="shared" si="30"/>
        <v>0.3973915614</v>
      </c>
      <c r="BN33" s="157">
        <f t="shared" si="30"/>
        <v>0.4027245131</v>
      </c>
      <c r="BO33" s="157">
        <f t="shared" si="30"/>
        <v>0.4079058042</v>
      </c>
      <c r="BP33" s="157">
        <f t="shared" si="30"/>
        <v>0.4129426401</v>
      </c>
      <c r="BQ33" s="157">
        <f t="shared" si="30"/>
        <v>0.417841255</v>
      </c>
      <c r="BR33" s="157">
        <f t="shared" si="30"/>
        <v>0.4226083295</v>
      </c>
      <c r="BS33" s="157">
        <f t="shared" si="30"/>
        <v>0.427249599</v>
      </c>
      <c r="BT33" s="157">
        <f t="shared" si="30"/>
        <v>0.431769514</v>
      </c>
      <c r="BU33" s="20"/>
    </row>
    <row r="34">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AK34" s="20"/>
      <c r="AL34" s="20"/>
      <c r="AM34" s="20"/>
      <c r="AN34" s="20"/>
      <c r="AO34" s="20"/>
      <c r="AP34" s="20"/>
      <c r="AQ34" s="20"/>
      <c r="AR34" s="20"/>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0"/>
      <c r="BQ34" s="20"/>
      <c r="BR34" s="20"/>
      <c r="BS34" s="20"/>
      <c r="BT34" s="20"/>
      <c r="BU34" s="20"/>
    </row>
    <row r="35">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0"/>
      <c r="BQ35" s="20"/>
      <c r="BR35" s="20"/>
      <c r="BS35" s="20"/>
      <c r="BT35" s="20"/>
      <c r="BU35" s="20"/>
    </row>
    <row r="36">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row>
    <row r="37">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row>
    <row r="38">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10.0" topLeftCell="F11" activePane="bottomRight" state="frozen"/>
      <selection activeCell="F1" sqref="F1" pane="topRight"/>
      <selection activeCell="A11" sqref="A11" pane="bottomLeft"/>
      <selection activeCell="F11" sqref="F11" pane="bottomRight"/>
    </sheetView>
  </sheetViews>
  <sheetFormatPr customHeight="1" defaultColWidth="12.63" defaultRowHeight="15.75" outlineLevelRow="1"/>
  <cols>
    <col customWidth="1" min="1" max="1" width="3.38"/>
    <col customWidth="1" min="2" max="2" width="26.88"/>
    <col customWidth="1" min="3" max="3" width="4.13"/>
    <col customWidth="1" min="4" max="4" width="2.88"/>
    <col customWidth="1" min="5" max="5" width="9.5"/>
    <col customWidth="1" min="6" max="6" width="12.88"/>
    <col customWidth="1" min="10" max="10" width="10.13"/>
    <col customWidth="1" min="11" max="11" width="3.5"/>
    <col customWidth="1" min="72" max="72" width="3.25"/>
  </cols>
  <sheetData>
    <row r="1">
      <c r="A1" s="241"/>
      <c r="B1" s="241"/>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c r="BA1" s="241"/>
      <c r="BB1" s="241"/>
      <c r="BC1" s="241"/>
      <c r="BD1" s="241"/>
      <c r="BE1" s="241"/>
      <c r="BF1" s="241"/>
      <c r="BG1" s="241"/>
      <c r="BH1" s="241"/>
      <c r="BI1" s="241"/>
      <c r="BJ1" s="241"/>
      <c r="BK1" s="241"/>
      <c r="BL1" s="241"/>
      <c r="BM1" s="241"/>
      <c r="BN1" s="241"/>
      <c r="BO1" s="241"/>
      <c r="BP1" s="241"/>
      <c r="BQ1" s="241"/>
      <c r="BR1" s="241"/>
      <c r="BS1" s="241"/>
      <c r="BT1" s="241"/>
    </row>
    <row r="2">
      <c r="A2" s="241"/>
      <c r="B2" s="21" t="s">
        <v>101</v>
      </c>
      <c r="C2" s="241"/>
      <c r="D2" s="241"/>
      <c r="E2" s="241"/>
      <c r="F2" s="241"/>
      <c r="G2" s="241"/>
      <c r="H2" s="241"/>
      <c r="I2" s="241"/>
      <c r="J2" s="241"/>
      <c r="K2" s="241"/>
      <c r="L2" s="241"/>
      <c r="M2" s="241"/>
      <c r="N2" s="241"/>
      <c r="O2" s="241"/>
      <c r="P2" s="241"/>
      <c r="Q2" s="241"/>
      <c r="R2" s="241"/>
      <c r="S2" s="241"/>
      <c r="T2" s="241"/>
      <c r="U2" s="241"/>
      <c r="V2" s="241"/>
      <c r="W2" s="241"/>
      <c r="X2" s="241"/>
      <c r="Y2" s="241"/>
      <c r="Z2" s="241"/>
      <c r="AA2" s="241"/>
      <c r="AB2" s="241"/>
      <c r="AC2" s="241"/>
      <c r="AD2" s="241"/>
      <c r="AE2" s="241"/>
      <c r="AF2" s="241"/>
      <c r="AG2" s="241"/>
      <c r="AH2" s="241"/>
      <c r="AI2" s="241"/>
      <c r="AJ2" s="241"/>
      <c r="AK2" s="241"/>
      <c r="AL2" s="241"/>
      <c r="AM2" s="241"/>
      <c r="AN2" s="241"/>
      <c r="AO2" s="241"/>
      <c r="AP2" s="241"/>
      <c r="AQ2" s="241"/>
      <c r="AR2" s="241"/>
      <c r="AS2" s="241"/>
      <c r="AT2" s="241"/>
      <c r="AU2" s="241"/>
      <c r="AV2" s="241"/>
      <c r="AW2" s="241"/>
      <c r="AX2" s="241"/>
      <c r="AY2" s="241"/>
      <c r="AZ2" s="241"/>
      <c r="BA2" s="241"/>
      <c r="BB2" s="241"/>
      <c r="BC2" s="241"/>
      <c r="BD2" s="241"/>
      <c r="BE2" s="241"/>
      <c r="BF2" s="241"/>
      <c r="BG2" s="241"/>
      <c r="BH2" s="241"/>
      <c r="BI2" s="241"/>
      <c r="BJ2" s="241"/>
      <c r="BK2" s="241"/>
      <c r="BL2" s="241"/>
      <c r="BM2" s="241"/>
      <c r="BN2" s="241"/>
      <c r="BO2" s="241"/>
      <c r="BP2" s="241"/>
      <c r="BQ2" s="241"/>
      <c r="BR2" s="241"/>
      <c r="BS2" s="241"/>
      <c r="BT2" s="241"/>
    </row>
    <row r="3">
      <c r="A3" s="241"/>
      <c r="B3" s="241"/>
      <c r="C3" s="241"/>
      <c r="D3" s="241"/>
      <c r="E3" s="241"/>
      <c r="F3" s="241"/>
      <c r="G3" s="241"/>
      <c r="H3" s="241"/>
      <c r="I3" s="241"/>
      <c r="J3" s="241"/>
      <c r="K3" s="241"/>
      <c r="L3" s="241"/>
      <c r="M3" s="241"/>
      <c r="N3" s="241"/>
      <c r="O3" s="241"/>
      <c r="P3" s="241"/>
      <c r="Q3" s="241"/>
      <c r="R3" s="241"/>
      <c r="S3" s="241"/>
      <c r="T3" s="241"/>
      <c r="U3" s="241"/>
      <c r="V3" s="241"/>
      <c r="W3" s="241"/>
      <c r="X3" s="241"/>
      <c r="Y3" s="241"/>
      <c r="Z3" s="241"/>
      <c r="AA3" s="241"/>
      <c r="AB3" s="241"/>
      <c r="AC3" s="241"/>
      <c r="AD3" s="241"/>
      <c r="AE3" s="241"/>
      <c r="AF3" s="241"/>
      <c r="AG3" s="241"/>
      <c r="AH3" s="241"/>
      <c r="AI3" s="241"/>
      <c r="AJ3" s="241"/>
      <c r="AK3" s="241"/>
      <c r="AL3" s="241"/>
      <c r="AM3" s="241"/>
      <c r="AN3" s="241"/>
      <c r="AO3" s="241"/>
      <c r="AP3" s="241"/>
      <c r="AQ3" s="241"/>
      <c r="AR3" s="241"/>
      <c r="AS3" s="241"/>
      <c r="AT3" s="241"/>
      <c r="AU3" s="241"/>
      <c r="AV3" s="241"/>
      <c r="AW3" s="241"/>
      <c r="AX3" s="241"/>
      <c r="AY3" s="241"/>
      <c r="AZ3" s="241"/>
      <c r="BA3" s="241"/>
      <c r="BB3" s="241"/>
      <c r="BC3" s="241"/>
      <c r="BD3" s="241"/>
      <c r="BE3" s="241"/>
      <c r="BF3" s="241"/>
      <c r="BG3" s="241"/>
      <c r="BH3" s="241"/>
      <c r="BI3" s="241"/>
      <c r="BJ3" s="241"/>
      <c r="BK3" s="241"/>
      <c r="BL3" s="241"/>
      <c r="BM3" s="241"/>
      <c r="BN3" s="241"/>
      <c r="BO3" s="241"/>
      <c r="BP3" s="241"/>
      <c r="BQ3" s="241"/>
      <c r="BR3" s="241"/>
      <c r="BS3" s="241"/>
      <c r="BT3" s="241"/>
    </row>
    <row r="4">
      <c r="A4" s="241"/>
      <c r="B4" s="241"/>
      <c r="C4" s="241"/>
      <c r="D4" s="241"/>
      <c r="E4" s="241"/>
      <c r="F4" s="241"/>
      <c r="G4" s="241"/>
      <c r="H4" s="241"/>
      <c r="I4" s="241"/>
      <c r="J4" s="241"/>
      <c r="K4" s="241"/>
      <c r="L4" s="241"/>
      <c r="M4" s="241"/>
      <c r="N4" s="241"/>
      <c r="O4" s="241"/>
      <c r="P4" s="241"/>
      <c r="Q4" s="241"/>
      <c r="R4" s="241"/>
      <c r="S4" s="241"/>
      <c r="T4" s="241"/>
      <c r="U4" s="241"/>
      <c r="V4" s="241"/>
      <c r="W4" s="241"/>
      <c r="X4" s="241"/>
      <c r="Y4" s="241"/>
      <c r="Z4" s="241"/>
      <c r="AA4" s="241"/>
      <c r="AB4" s="241"/>
      <c r="AC4" s="241"/>
      <c r="AD4" s="241"/>
      <c r="AE4" s="241"/>
      <c r="AF4" s="241"/>
      <c r="AG4" s="241"/>
      <c r="AH4" s="241"/>
      <c r="AI4" s="241"/>
      <c r="AJ4" s="241"/>
      <c r="AK4" s="241"/>
      <c r="AL4" s="241"/>
      <c r="AM4" s="241"/>
      <c r="AN4" s="241"/>
      <c r="AO4" s="241"/>
      <c r="AP4" s="241"/>
      <c r="AQ4" s="241"/>
      <c r="AR4" s="241"/>
      <c r="AS4" s="241"/>
      <c r="AT4" s="241"/>
      <c r="AU4" s="241"/>
      <c r="AV4" s="241"/>
      <c r="AW4" s="241"/>
      <c r="AX4" s="241"/>
      <c r="AY4" s="241"/>
      <c r="AZ4" s="241"/>
      <c r="BA4" s="241"/>
      <c r="BB4" s="241"/>
      <c r="BC4" s="241"/>
      <c r="BD4" s="241"/>
      <c r="BE4" s="241"/>
      <c r="BF4" s="241"/>
      <c r="BG4" s="241"/>
      <c r="BH4" s="241"/>
      <c r="BI4" s="241"/>
      <c r="BJ4" s="241"/>
      <c r="BK4" s="241"/>
      <c r="BL4" s="241"/>
      <c r="BM4" s="241"/>
      <c r="BN4" s="241"/>
      <c r="BO4" s="241"/>
      <c r="BP4" s="241"/>
      <c r="BQ4" s="241"/>
      <c r="BR4" s="241"/>
      <c r="BS4" s="241"/>
      <c r="BT4" s="241"/>
    </row>
    <row r="5">
      <c r="A5" s="20"/>
      <c r="B5" s="20"/>
      <c r="C5" s="20"/>
      <c r="D5" s="20"/>
      <c r="E5" s="77"/>
      <c r="F5" s="78" t="str">
        <f t="shared" ref="F5:J5" si="1">IF(F13=1,"Actual","Forecast")</f>
        <v>Actual</v>
      </c>
      <c r="G5" s="78" t="str">
        <f t="shared" si="1"/>
        <v>Actual</v>
      </c>
      <c r="H5" s="79" t="str">
        <f t="shared" si="1"/>
        <v>Forecast</v>
      </c>
      <c r="I5" s="79" t="str">
        <f t="shared" si="1"/>
        <v>Forecast</v>
      </c>
      <c r="J5" s="79" t="str">
        <f t="shared" si="1"/>
        <v>Forecast</v>
      </c>
      <c r="K5" s="20"/>
      <c r="L5" s="214" t="str">
        <f t="shared" ref="L5:BS5" si="2">IF(L13=1,"Actual","Forecast")</f>
        <v>Actual</v>
      </c>
      <c r="M5" s="214" t="str">
        <f t="shared" si="2"/>
        <v>Actual</v>
      </c>
      <c r="N5" s="78" t="str">
        <f t="shared" si="2"/>
        <v>Actual</v>
      </c>
      <c r="O5" s="78" t="str">
        <f t="shared" si="2"/>
        <v>Actual</v>
      </c>
      <c r="P5" s="78" t="str">
        <f t="shared" si="2"/>
        <v>Actual</v>
      </c>
      <c r="Q5" s="78" t="str">
        <f t="shared" si="2"/>
        <v>Actual</v>
      </c>
      <c r="R5" s="78" t="str">
        <f t="shared" si="2"/>
        <v>Actual</v>
      </c>
      <c r="S5" s="78" t="str">
        <f t="shared" si="2"/>
        <v>Actual</v>
      </c>
      <c r="T5" s="78" t="str">
        <f t="shared" si="2"/>
        <v>Actual</v>
      </c>
      <c r="U5" s="78" t="str">
        <f t="shared" si="2"/>
        <v>Actual</v>
      </c>
      <c r="V5" s="78" t="str">
        <f t="shared" si="2"/>
        <v>Actual</v>
      </c>
      <c r="W5" s="78" t="str">
        <f t="shared" si="2"/>
        <v>Actual</v>
      </c>
      <c r="X5" s="78" t="str">
        <f t="shared" si="2"/>
        <v>Actual</v>
      </c>
      <c r="Y5" s="78" t="str">
        <f t="shared" si="2"/>
        <v>Actual</v>
      </c>
      <c r="Z5" s="78" t="str">
        <f t="shared" si="2"/>
        <v>Actual</v>
      </c>
      <c r="AA5" s="78" t="str">
        <f t="shared" si="2"/>
        <v>Actual</v>
      </c>
      <c r="AB5" s="78" t="str">
        <f t="shared" si="2"/>
        <v>Actual</v>
      </c>
      <c r="AC5" s="78" t="str">
        <f t="shared" si="2"/>
        <v>Actual</v>
      </c>
      <c r="AD5" s="79" t="str">
        <f t="shared" si="2"/>
        <v>Forecast</v>
      </c>
      <c r="AE5" s="79" t="str">
        <f t="shared" si="2"/>
        <v>Forecast</v>
      </c>
      <c r="AF5" s="79" t="str">
        <f t="shared" si="2"/>
        <v>Forecast</v>
      </c>
      <c r="AG5" s="79" t="str">
        <f t="shared" si="2"/>
        <v>Forecast</v>
      </c>
      <c r="AH5" s="79" t="str">
        <f t="shared" si="2"/>
        <v>Forecast</v>
      </c>
      <c r="AI5" s="79" t="str">
        <f t="shared" si="2"/>
        <v>Forecast</v>
      </c>
      <c r="AJ5" s="79" t="str">
        <f t="shared" si="2"/>
        <v>Forecast</v>
      </c>
      <c r="AK5" s="79" t="str">
        <f t="shared" si="2"/>
        <v>Forecast</v>
      </c>
      <c r="AL5" s="79" t="str">
        <f t="shared" si="2"/>
        <v>Forecast</v>
      </c>
      <c r="AM5" s="79" t="str">
        <f t="shared" si="2"/>
        <v>Forecast</v>
      </c>
      <c r="AN5" s="79" t="str">
        <f t="shared" si="2"/>
        <v>Forecast</v>
      </c>
      <c r="AO5" s="79" t="str">
        <f t="shared" si="2"/>
        <v>Forecast</v>
      </c>
      <c r="AP5" s="79" t="str">
        <f t="shared" si="2"/>
        <v>Forecast</v>
      </c>
      <c r="AQ5" s="79" t="str">
        <f t="shared" si="2"/>
        <v>Forecast</v>
      </c>
      <c r="AR5" s="79" t="str">
        <f t="shared" si="2"/>
        <v>Forecast</v>
      </c>
      <c r="AS5" s="79" t="str">
        <f t="shared" si="2"/>
        <v>Forecast</v>
      </c>
      <c r="AT5" s="79" t="str">
        <f t="shared" si="2"/>
        <v>Forecast</v>
      </c>
      <c r="AU5" s="79" t="str">
        <f t="shared" si="2"/>
        <v>Forecast</v>
      </c>
      <c r="AV5" s="79" t="str">
        <f t="shared" si="2"/>
        <v>Forecast</v>
      </c>
      <c r="AW5" s="79" t="str">
        <f t="shared" si="2"/>
        <v>Forecast</v>
      </c>
      <c r="AX5" s="79" t="str">
        <f t="shared" si="2"/>
        <v>Forecast</v>
      </c>
      <c r="AY5" s="79" t="str">
        <f t="shared" si="2"/>
        <v>Forecast</v>
      </c>
      <c r="AZ5" s="79" t="str">
        <f t="shared" si="2"/>
        <v>Forecast</v>
      </c>
      <c r="BA5" s="79" t="str">
        <f t="shared" si="2"/>
        <v>Forecast</v>
      </c>
      <c r="BB5" s="79" t="str">
        <f t="shared" si="2"/>
        <v>Forecast</v>
      </c>
      <c r="BC5" s="79" t="str">
        <f t="shared" si="2"/>
        <v>Forecast</v>
      </c>
      <c r="BD5" s="79" t="str">
        <f t="shared" si="2"/>
        <v>Forecast</v>
      </c>
      <c r="BE5" s="79" t="str">
        <f t="shared" si="2"/>
        <v>Forecast</v>
      </c>
      <c r="BF5" s="79" t="str">
        <f t="shared" si="2"/>
        <v>Forecast</v>
      </c>
      <c r="BG5" s="79" t="str">
        <f t="shared" si="2"/>
        <v>Forecast</v>
      </c>
      <c r="BH5" s="79" t="str">
        <f t="shared" si="2"/>
        <v>Forecast</v>
      </c>
      <c r="BI5" s="79" t="str">
        <f t="shared" si="2"/>
        <v>Forecast</v>
      </c>
      <c r="BJ5" s="79" t="str">
        <f t="shared" si="2"/>
        <v>Forecast</v>
      </c>
      <c r="BK5" s="79" t="str">
        <f t="shared" si="2"/>
        <v>Forecast</v>
      </c>
      <c r="BL5" s="79" t="str">
        <f t="shared" si="2"/>
        <v>Forecast</v>
      </c>
      <c r="BM5" s="79" t="str">
        <f t="shared" si="2"/>
        <v>Forecast</v>
      </c>
      <c r="BN5" s="79" t="str">
        <f t="shared" si="2"/>
        <v>Forecast</v>
      </c>
      <c r="BO5" s="79" t="str">
        <f t="shared" si="2"/>
        <v>Forecast</v>
      </c>
      <c r="BP5" s="79" t="str">
        <f t="shared" si="2"/>
        <v>Forecast</v>
      </c>
      <c r="BQ5" s="79" t="str">
        <f t="shared" si="2"/>
        <v>Forecast</v>
      </c>
      <c r="BR5" s="79" t="str">
        <f t="shared" si="2"/>
        <v>Forecast</v>
      </c>
      <c r="BS5" s="79" t="str">
        <f t="shared" si="2"/>
        <v>Forecast</v>
      </c>
      <c r="BT5" s="20"/>
    </row>
    <row r="6" collapsed="1">
      <c r="A6" s="20"/>
      <c r="B6" s="20"/>
      <c r="C6" s="20"/>
      <c r="D6" s="20"/>
      <c r="E6" s="81"/>
      <c r="F6" s="82">
        <f t="shared" ref="F6:J6" si="3">F7</f>
        <v>44562</v>
      </c>
      <c r="G6" s="83">
        <f t="shared" si="3"/>
        <v>44927</v>
      </c>
      <c r="H6" s="82">
        <f t="shared" si="3"/>
        <v>45292</v>
      </c>
      <c r="I6" s="83">
        <f t="shared" si="3"/>
        <v>45658</v>
      </c>
      <c r="J6" s="82">
        <f t="shared" si="3"/>
        <v>46023</v>
      </c>
      <c r="K6" s="20"/>
      <c r="L6" s="84">
        <f t="shared" ref="L6:BS6" si="4">L7</f>
        <v>44562</v>
      </c>
      <c r="M6" s="85">
        <f t="shared" si="4"/>
        <v>44593</v>
      </c>
      <c r="N6" s="85">
        <f t="shared" si="4"/>
        <v>44621</v>
      </c>
      <c r="O6" s="85">
        <f t="shared" si="4"/>
        <v>44652</v>
      </c>
      <c r="P6" s="85">
        <f t="shared" si="4"/>
        <v>44682</v>
      </c>
      <c r="Q6" s="85">
        <f t="shared" si="4"/>
        <v>44713</v>
      </c>
      <c r="R6" s="85">
        <f t="shared" si="4"/>
        <v>44743</v>
      </c>
      <c r="S6" s="85">
        <f t="shared" si="4"/>
        <v>44774</v>
      </c>
      <c r="T6" s="85">
        <f t="shared" si="4"/>
        <v>44805</v>
      </c>
      <c r="U6" s="85">
        <f t="shared" si="4"/>
        <v>44835</v>
      </c>
      <c r="V6" s="85">
        <f t="shared" si="4"/>
        <v>44866</v>
      </c>
      <c r="W6" s="85">
        <f t="shared" si="4"/>
        <v>44896</v>
      </c>
      <c r="X6" s="85">
        <f t="shared" si="4"/>
        <v>44927</v>
      </c>
      <c r="Y6" s="85">
        <f t="shared" si="4"/>
        <v>44958</v>
      </c>
      <c r="Z6" s="85">
        <f t="shared" si="4"/>
        <v>44986</v>
      </c>
      <c r="AA6" s="85">
        <f t="shared" si="4"/>
        <v>45017</v>
      </c>
      <c r="AB6" s="85">
        <f t="shared" si="4"/>
        <v>45047</v>
      </c>
      <c r="AC6" s="85">
        <f t="shared" si="4"/>
        <v>45078</v>
      </c>
      <c r="AD6" s="85">
        <f t="shared" si="4"/>
        <v>45108</v>
      </c>
      <c r="AE6" s="85">
        <f t="shared" si="4"/>
        <v>45139</v>
      </c>
      <c r="AF6" s="85">
        <f t="shared" si="4"/>
        <v>45170</v>
      </c>
      <c r="AG6" s="85">
        <f t="shared" si="4"/>
        <v>45200</v>
      </c>
      <c r="AH6" s="85">
        <f t="shared" si="4"/>
        <v>45231</v>
      </c>
      <c r="AI6" s="85">
        <f t="shared" si="4"/>
        <v>45261</v>
      </c>
      <c r="AJ6" s="85">
        <f t="shared" si="4"/>
        <v>45292</v>
      </c>
      <c r="AK6" s="85">
        <f t="shared" si="4"/>
        <v>45323</v>
      </c>
      <c r="AL6" s="85">
        <f t="shared" si="4"/>
        <v>45352</v>
      </c>
      <c r="AM6" s="85">
        <f t="shared" si="4"/>
        <v>45383</v>
      </c>
      <c r="AN6" s="85">
        <f t="shared" si="4"/>
        <v>45413</v>
      </c>
      <c r="AO6" s="85">
        <f t="shared" si="4"/>
        <v>45444</v>
      </c>
      <c r="AP6" s="85">
        <f t="shared" si="4"/>
        <v>45474</v>
      </c>
      <c r="AQ6" s="85">
        <f t="shared" si="4"/>
        <v>45505</v>
      </c>
      <c r="AR6" s="85">
        <f t="shared" si="4"/>
        <v>45536</v>
      </c>
      <c r="AS6" s="85">
        <f t="shared" si="4"/>
        <v>45566</v>
      </c>
      <c r="AT6" s="85">
        <f t="shared" si="4"/>
        <v>45597</v>
      </c>
      <c r="AU6" s="85">
        <f t="shared" si="4"/>
        <v>45627</v>
      </c>
      <c r="AV6" s="85">
        <f t="shared" si="4"/>
        <v>45658</v>
      </c>
      <c r="AW6" s="85">
        <f t="shared" si="4"/>
        <v>45689</v>
      </c>
      <c r="AX6" s="85">
        <f t="shared" si="4"/>
        <v>45717</v>
      </c>
      <c r="AY6" s="85">
        <f t="shared" si="4"/>
        <v>45748</v>
      </c>
      <c r="AZ6" s="85">
        <f t="shared" si="4"/>
        <v>45778</v>
      </c>
      <c r="BA6" s="85">
        <f t="shared" si="4"/>
        <v>45809</v>
      </c>
      <c r="BB6" s="85">
        <f t="shared" si="4"/>
        <v>45839</v>
      </c>
      <c r="BC6" s="85">
        <f t="shared" si="4"/>
        <v>45870</v>
      </c>
      <c r="BD6" s="85">
        <f t="shared" si="4"/>
        <v>45901</v>
      </c>
      <c r="BE6" s="85">
        <f t="shared" si="4"/>
        <v>45931</v>
      </c>
      <c r="BF6" s="85">
        <f t="shared" si="4"/>
        <v>45962</v>
      </c>
      <c r="BG6" s="85">
        <f t="shared" si="4"/>
        <v>45992</v>
      </c>
      <c r="BH6" s="85">
        <f t="shared" si="4"/>
        <v>46023</v>
      </c>
      <c r="BI6" s="85">
        <f t="shared" si="4"/>
        <v>46054</v>
      </c>
      <c r="BJ6" s="85">
        <f t="shared" si="4"/>
        <v>46082</v>
      </c>
      <c r="BK6" s="85">
        <f t="shared" si="4"/>
        <v>46113</v>
      </c>
      <c r="BL6" s="85">
        <f t="shared" si="4"/>
        <v>46143</v>
      </c>
      <c r="BM6" s="85">
        <f t="shared" si="4"/>
        <v>46174</v>
      </c>
      <c r="BN6" s="85">
        <f t="shared" si="4"/>
        <v>46204</v>
      </c>
      <c r="BO6" s="85">
        <f t="shared" si="4"/>
        <v>46235</v>
      </c>
      <c r="BP6" s="85">
        <f t="shared" si="4"/>
        <v>46266</v>
      </c>
      <c r="BQ6" s="85">
        <f t="shared" si="4"/>
        <v>46296</v>
      </c>
      <c r="BR6" s="85">
        <f t="shared" si="4"/>
        <v>46327</v>
      </c>
      <c r="BS6" s="85">
        <f t="shared" si="4"/>
        <v>46357</v>
      </c>
      <c r="BT6" s="86"/>
    </row>
    <row r="7" hidden="1" outlineLevel="1">
      <c r="A7" s="20"/>
      <c r="B7" s="20"/>
      <c r="C7" s="20"/>
      <c r="D7" s="20"/>
      <c r="E7" s="215" t="s">
        <v>91</v>
      </c>
      <c r="F7" s="88">
        <f>'Key Assumptions'!D13</f>
        <v>44562</v>
      </c>
      <c r="G7" s="89">
        <f t="shared" ref="G7:J7" si="5">F8+1</f>
        <v>44927</v>
      </c>
      <c r="H7" s="89">
        <f t="shared" si="5"/>
        <v>45292</v>
      </c>
      <c r="I7" s="89">
        <f t="shared" si="5"/>
        <v>45658</v>
      </c>
      <c r="J7" s="89">
        <f t="shared" si="5"/>
        <v>46023</v>
      </c>
      <c r="K7" s="20"/>
      <c r="L7" s="88">
        <f>'Key Assumptions'!D13</f>
        <v>44562</v>
      </c>
      <c r="M7" s="89">
        <f t="shared" ref="M7:BS7" si="6">L8+1</f>
        <v>44593</v>
      </c>
      <c r="N7" s="89">
        <f t="shared" si="6"/>
        <v>44621</v>
      </c>
      <c r="O7" s="89">
        <f t="shared" si="6"/>
        <v>44652</v>
      </c>
      <c r="P7" s="89">
        <f t="shared" si="6"/>
        <v>44682</v>
      </c>
      <c r="Q7" s="89">
        <f t="shared" si="6"/>
        <v>44713</v>
      </c>
      <c r="R7" s="89">
        <f t="shared" si="6"/>
        <v>44743</v>
      </c>
      <c r="S7" s="89">
        <f t="shared" si="6"/>
        <v>44774</v>
      </c>
      <c r="T7" s="89">
        <f t="shared" si="6"/>
        <v>44805</v>
      </c>
      <c r="U7" s="89">
        <f t="shared" si="6"/>
        <v>44835</v>
      </c>
      <c r="V7" s="89">
        <f t="shared" si="6"/>
        <v>44866</v>
      </c>
      <c r="W7" s="89">
        <f t="shared" si="6"/>
        <v>44896</v>
      </c>
      <c r="X7" s="89">
        <f t="shared" si="6"/>
        <v>44927</v>
      </c>
      <c r="Y7" s="89">
        <f t="shared" si="6"/>
        <v>44958</v>
      </c>
      <c r="Z7" s="89">
        <f t="shared" si="6"/>
        <v>44986</v>
      </c>
      <c r="AA7" s="89">
        <f t="shared" si="6"/>
        <v>45017</v>
      </c>
      <c r="AB7" s="89">
        <f t="shared" si="6"/>
        <v>45047</v>
      </c>
      <c r="AC7" s="89">
        <f t="shared" si="6"/>
        <v>45078</v>
      </c>
      <c r="AD7" s="89">
        <f t="shared" si="6"/>
        <v>45108</v>
      </c>
      <c r="AE7" s="89">
        <f t="shared" si="6"/>
        <v>45139</v>
      </c>
      <c r="AF7" s="89">
        <f t="shared" si="6"/>
        <v>45170</v>
      </c>
      <c r="AG7" s="89">
        <f t="shared" si="6"/>
        <v>45200</v>
      </c>
      <c r="AH7" s="89">
        <f t="shared" si="6"/>
        <v>45231</v>
      </c>
      <c r="AI7" s="89">
        <f t="shared" si="6"/>
        <v>45261</v>
      </c>
      <c r="AJ7" s="89">
        <f t="shared" si="6"/>
        <v>45292</v>
      </c>
      <c r="AK7" s="89">
        <f t="shared" si="6"/>
        <v>45323</v>
      </c>
      <c r="AL7" s="89">
        <f t="shared" si="6"/>
        <v>45352</v>
      </c>
      <c r="AM7" s="89">
        <f t="shared" si="6"/>
        <v>45383</v>
      </c>
      <c r="AN7" s="89">
        <f t="shared" si="6"/>
        <v>45413</v>
      </c>
      <c r="AO7" s="89">
        <f t="shared" si="6"/>
        <v>45444</v>
      </c>
      <c r="AP7" s="89">
        <f t="shared" si="6"/>
        <v>45474</v>
      </c>
      <c r="AQ7" s="89">
        <f t="shared" si="6"/>
        <v>45505</v>
      </c>
      <c r="AR7" s="89">
        <f t="shared" si="6"/>
        <v>45536</v>
      </c>
      <c r="AS7" s="89">
        <f t="shared" si="6"/>
        <v>45566</v>
      </c>
      <c r="AT7" s="89">
        <f t="shared" si="6"/>
        <v>45597</v>
      </c>
      <c r="AU7" s="89">
        <f t="shared" si="6"/>
        <v>45627</v>
      </c>
      <c r="AV7" s="89">
        <f t="shared" si="6"/>
        <v>45658</v>
      </c>
      <c r="AW7" s="89">
        <f t="shared" si="6"/>
        <v>45689</v>
      </c>
      <c r="AX7" s="89">
        <f t="shared" si="6"/>
        <v>45717</v>
      </c>
      <c r="AY7" s="89">
        <f t="shared" si="6"/>
        <v>45748</v>
      </c>
      <c r="AZ7" s="89">
        <f t="shared" si="6"/>
        <v>45778</v>
      </c>
      <c r="BA7" s="89">
        <f t="shared" si="6"/>
        <v>45809</v>
      </c>
      <c r="BB7" s="89">
        <f t="shared" si="6"/>
        <v>45839</v>
      </c>
      <c r="BC7" s="89">
        <f t="shared" si="6"/>
        <v>45870</v>
      </c>
      <c r="BD7" s="89">
        <f t="shared" si="6"/>
        <v>45901</v>
      </c>
      <c r="BE7" s="89">
        <f t="shared" si="6"/>
        <v>45931</v>
      </c>
      <c r="BF7" s="89">
        <f t="shared" si="6"/>
        <v>45962</v>
      </c>
      <c r="BG7" s="89">
        <f t="shared" si="6"/>
        <v>45992</v>
      </c>
      <c r="BH7" s="89">
        <f t="shared" si="6"/>
        <v>46023</v>
      </c>
      <c r="BI7" s="89">
        <f t="shared" si="6"/>
        <v>46054</v>
      </c>
      <c r="BJ7" s="89">
        <f t="shared" si="6"/>
        <v>46082</v>
      </c>
      <c r="BK7" s="89">
        <f t="shared" si="6"/>
        <v>46113</v>
      </c>
      <c r="BL7" s="89">
        <f t="shared" si="6"/>
        <v>46143</v>
      </c>
      <c r="BM7" s="89">
        <f t="shared" si="6"/>
        <v>46174</v>
      </c>
      <c r="BN7" s="89">
        <f t="shared" si="6"/>
        <v>46204</v>
      </c>
      <c r="BO7" s="89">
        <f t="shared" si="6"/>
        <v>46235</v>
      </c>
      <c r="BP7" s="89">
        <f t="shared" si="6"/>
        <v>46266</v>
      </c>
      <c r="BQ7" s="89">
        <f t="shared" si="6"/>
        <v>46296</v>
      </c>
      <c r="BR7" s="89">
        <f t="shared" si="6"/>
        <v>46327</v>
      </c>
      <c r="BS7" s="89">
        <f t="shared" si="6"/>
        <v>46357</v>
      </c>
      <c r="BT7" s="20"/>
    </row>
    <row r="8" hidden="1" outlineLevel="1">
      <c r="A8" s="20"/>
      <c r="B8" s="20"/>
      <c r="C8" s="20"/>
      <c r="D8" s="20"/>
      <c r="E8" s="215" t="s">
        <v>92</v>
      </c>
      <c r="F8" s="92">
        <f t="shared" ref="F8:J8" si="7">EOMONTH(F7,11)</f>
        <v>44926</v>
      </c>
      <c r="G8" s="92">
        <f t="shared" si="7"/>
        <v>45291</v>
      </c>
      <c r="H8" s="92">
        <f t="shared" si="7"/>
        <v>45657</v>
      </c>
      <c r="I8" s="92">
        <f t="shared" si="7"/>
        <v>46022</v>
      </c>
      <c r="J8" s="92">
        <f t="shared" si="7"/>
        <v>46387</v>
      </c>
      <c r="K8" s="20"/>
      <c r="L8" s="92">
        <f t="shared" ref="L8:BS8" si="8">EOMONTH(L7,0)</f>
        <v>44592</v>
      </c>
      <c r="M8" s="92">
        <f t="shared" si="8"/>
        <v>44620</v>
      </c>
      <c r="N8" s="92">
        <f t="shared" si="8"/>
        <v>44651</v>
      </c>
      <c r="O8" s="92">
        <f t="shared" si="8"/>
        <v>44681</v>
      </c>
      <c r="P8" s="92">
        <f t="shared" si="8"/>
        <v>44712</v>
      </c>
      <c r="Q8" s="92">
        <f t="shared" si="8"/>
        <v>44742</v>
      </c>
      <c r="R8" s="92">
        <f t="shared" si="8"/>
        <v>44773</v>
      </c>
      <c r="S8" s="92">
        <f t="shared" si="8"/>
        <v>44804</v>
      </c>
      <c r="T8" s="92">
        <f t="shared" si="8"/>
        <v>44834</v>
      </c>
      <c r="U8" s="92">
        <f t="shared" si="8"/>
        <v>44865</v>
      </c>
      <c r="V8" s="92">
        <f t="shared" si="8"/>
        <v>44895</v>
      </c>
      <c r="W8" s="92">
        <f t="shared" si="8"/>
        <v>44926</v>
      </c>
      <c r="X8" s="92">
        <f t="shared" si="8"/>
        <v>44957</v>
      </c>
      <c r="Y8" s="92">
        <f t="shared" si="8"/>
        <v>44985</v>
      </c>
      <c r="Z8" s="92">
        <f t="shared" si="8"/>
        <v>45016</v>
      </c>
      <c r="AA8" s="92">
        <f t="shared" si="8"/>
        <v>45046</v>
      </c>
      <c r="AB8" s="92">
        <f t="shared" si="8"/>
        <v>45077</v>
      </c>
      <c r="AC8" s="92">
        <f t="shared" si="8"/>
        <v>45107</v>
      </c>
      <c r="AD8" s="92">
        <f t="shared" si="8"/>
        <v>45138</v>
      </c>
      <c r="AE8" s="92">
        <f t="shared" si="8"/>
        <v>45169</v>
      </c>
      <c r="AF8" s="92">
        <f t="shared" si="8"/>
        <v>45199</v>
      </c>
      <c r="AG8" s="92">
        <f t="shared" si="8"/>
        <v>45230</v>
      </c>
      <c r="AH8" s="92">
        <f t="shared" si="8"/>
        <v>45260</v>
      </c>
      <c r="AI8" s="92">
        <f t="shared" si="8"/>
        <v>45291</v>
      </c>
      <c r="AJ8" s="92">
        <f t="shared" si="8"/>
        <v>45322</v>
      </c>
      <c r="AK8" s="92">
        <f t="shared" si="8"/>
        <v>45351</v>
      </c>
      <c r="AL8" s="92">
        <f t="shared" si="8"/>
        <v>45382</v>
      </c>
      <c r="AM8" s="92">
        <f t="shared" si="8"/>
        <v>45412</v>
      </c>
      <c r="AN8" s="92">
        <f t="shared" si="8"/>
        <v>45443</v>
      </c>
      <c r="AO8" s="92">
        <f t="shared" si="8"/>
        <v>45473</v>
      </c>
      <c r="AP8" s="92">
        <f t="shared" si="8"/>
        <v>45504</v>
      </c>
      <c r="AQ8" s="92">
        <f t="shared" si="8"/>
        <v>45535</v>
      </c>
      <c r="AR8" s="92">
        <f t="shared" si="8"/>
        <v>45565</v>
      </c>
      <c r="AS8" s="92">
        <f t="shared" si="8"/>
        <v>45596</v>
      </c>
      <c r="AT8" s="92">
        <f t="shared" si="8"/>
        <v>45626</v>
      </c>
      <c r="AU8" s="92">
        <f t="shared" si="8"/>
        <v>45657</v>
      </c>
      <c r="AV8" s="92">
        <f t="shared" si="8"/>
        <v>45688</v>
      </c>
      <c r="AW8" s="92">
        <f t="shared" si="8"/>
        <v>45716</v>
      </c>
      <c r="AX8" s="92">
        <f t="shared" si="8"/>
        <v>45747</v>
      </c>
      <c r="AY8" s="92">
        <f t="shared" si="8"/>
        <v>45777</v>
      </c>
      <c r="AZ8" s="92">
        <f t="shared" si="8"/>
        <v>45808</v>
      </c>
      <c r="BA8" s="92">
        <f t="shared" si="8"/>
        <v>45838</v>
      </c>
      <c r="BB8" s="92">
        <f t="shared" si="8"/>
        <v>45869</v>
      </c>
      <c r="BC8" s="92">
        <f t="shared" si="8"/>
        <v>45900</v>
      </c>
      <c r="BD8" s="92">
        <f t="shared" si="8"/>
        <v>45930</v>
      </c>
      <c r="BE8" s="92">
        <f t="shared" si="8"/>
        <v>45961</v>
      </c>
      <c r="BF8" s="92">
        <f t="shared" si="8"/>
        <v>45991</v>
      </c>
      <c r="BG8" s="92">
        <f t="shared" si="8"/>
        <v>46022</v>
      </c>
      <c r="BH8" s="92">
        <f t="shared" si="8"/>
        <v>46053</v>
      </c>
      <c r="BI8" s="92">
        <f t="shared" si="8"/>
        <v>46081</v>
      </c>
      <c r="BJ8" s="92">
        <f t="shared" si="8"/>
        <v>46112</v>
      </c>
      <c r="BK8" s="92">
        <f t="shared" si="8"/>
        <v>46142</v>
      </c>
      <c r="BL8" s="92">
        <f t="shared" si="8"/>
        <v>46173</v>
      </c>
      <c r="BM8" s="92">
        <f t="shared" si="8"/>
        <v>46203</v>
      </c>
      <c r="BN8" s="92">
        <f t="shared" si="8"/>
        <v>46234</v>
      </c>
      <c r="BO8" s="92">
        <f t="shared" si="8"/>
        <v>46265</v>
      </c>
      <c r="BP8" s="92">
        <f t="shared" si="8"/>
        <v>46295</v>
      </c>
      <c r="BQ8" s="92">
        <f t="shared" si="8"/>
        <v>46326</v>
      </c>
      <c r="BR8" s="92">
        <f t="shared" si="8"/>
        <v>46356</v>
      </c>
      <c r="BS8" s="92">
        <f t="shared" si="8"/>
        <v>46387</v>
      </c>
      <c r="BT8" s="20"/>
    </row>
    <row r="9">
      <c r="A9" s="20"/>
      <c r="B9" s="20"/>
      <c r="C9" s="20"/>
      <c r="D9" s="20"/>
      <c r="E9" s="215" t="s">
        <v>25</v>
      </c>
      <c r="F9" s="93" t="str">
        <f t="shared" ref="F9:J9" si="9">IF(F8-F7&gt;35,"Annual","Monthly")</f>
        <v>Annual</v>
      </c>
      <c r="G9" s="93" t="str">
        <f t="shared" si="9"/>
        <v>Annual</v>
      </c>
      <c r="H9" s="93" t="str">
        <f t="shared" si="9"/>
        <v>Annual</v>
      </c>
      <c r="I9" s="93" t="str">
        <f t="shared" si="9"/>
        <v>Annual</v>
      </c>
      <c r="J9" s="93" t="str">
        <f t="shared" si="9"/>
        <v>Annual</v>
      </c>
      <c r="K9" s="90"/>
      <c r="L9" s="93" t="str">
        <f t="shared" ref="L9:BS9" si="10">IF(L8-L7&gt;35,"Annual","Monthly")</f>
        <v>Monthly</v>
      </c>
      <c r="M9" s="93" t="str">
        <f t="shared" si="10"/>
        <v>Monthly</v>
      </c>
      <c r="N9" s="93" t="str">
        <f t="shared" si="10"/>
        <v>Monthly</v>
      </c>
      <c r="O9" s="93" t="str">
        <f t="shared" si="10"/>
        <v>Monthly</v>
      </c>
      <c r="P9" s="93" t="str">
        <f t="shared" si="10"/>
        <v>Monthly</v>
      </c>
      <c r="Q9" s="93" t="str">
        <f t="shared" si="10"/>
        <v>Monthly</v>
      </c>
      <c r="R9" s="93" t="str">
        <f t="shared" si="10"/>
        <v>Monthly</v>
      </c>
      <c r="S9" s="93" t="str">
        <f t="shared" si="10"/>
        <v>Monthly</v>
      </c>
      <c r="T9" s="93" t="str">
        <f t="shared" si="10"/>
        <v>Monthly</v>
      </c>
      <c r="U9" s="93" t="str">
        <f t="shared" si="10"/>
        <v>Monthly</v>
      </c>
      <c r="V9" s="93" t="str">
        <f t="shared" si="10"/>
        <v>Monthly</v>
      </c>
      <c r="W9" s="93" t="str">
        <f t="shared" si="10"/>
        <v>Monthly</v>
      </c>
      <c r="X9" s="93" t="str">
        <f t="shared" si="10"/>
        <v>Monthly</v>
      </c>
      <c r="Y9" s="93" t="str">
        <f t="shared" si="10"/>
        <v>Monthly</v>
      </c>
      <c r="Z9" s="93" t="str">
        <f t="shared" si="10"/>
        <v>Monthly</v>
      </c>
      <c r="AA9" s="93" t="str">
        <f t="shared" si="10"/>
        <v>Monthly</v>
      </c>
      <c r="AB9" s="93" t="str">
        <f t="shared" si="10"/>
        <v>Monthly</v>
      </c>
      <c r="AC9" s="93" t="str">
        <f t="shared" si="10"/>
        <v>Monthly</v>
      </c>
      <c r="AD9" s="93" t="str">
        <f t="shared" si="10"/>
        <v>Monthly</v>
      </c>
      <c r="AE9" s="93" t="str">
        <f t="shared" si="10"/>
        <v>Monthly</v>
      </c>
      <c r="AF9" s="93" t="str">
        <f t="shared" si="10"/>
        <v>Monthly</v>
      </c>
      <c r="AG9" s="93" t="str">
        <f t="shared" si="10"/>
        <v>Monthly</v>
      </c>
      <c r="AH9" s="93" t="str">
        <f t="shared" si="10"/>
        <v>Monthly</v>
      </c>
      <c r="AI9" s="93" t="str">
        <f t="shared" si="10"/>
        <v>Monthly</v>
      </c>
      <c r="AJ9" s="93" t="str">
        <f t="shared" si="10"/>
        <v>Monthly</v>
      </c>
      <c r="AK9" s="93" t="str">
        <f t="shared" si="10"/>
        <v>Monthly</v>
      </c>
      <c r="AL9" s="93" t="str">
        <f t="shared" si="10"/>
        <v>Monthly</v>
      </c>
      <c r="AM9" s="93" t="str">
        <f t="shared" si="10"/>
        <v>Monthly</v>
      </c>
      <c r="AN9" s="93" t="str">
        <f t="shared" si="10"/>
        <v>Monthly</v>
      </c>
      <c r="AO9" s="93" t="str">
        <f t="shared" si="10"/>
        <v>Monthly</v>
      </c>
      <c r="AP9" s="93" t="str">
        <f t="shared" si="10"/>
        <v>Monthly</v>
      </c>
      <c r="AQ9" s="93" t="str">
        <f t="shared" si="10"/>
        <v>Monthly</v>
      </c>
      <c r="AR9" s="93" t="str">
        <f t="shared" si="10"/>
        <v>Monthly</v>
      </c>
      <c r="AS9" s="93" t="str">
        <f t="shared" si="10"/>
        <v>Monthly</v>
      </c>
      <c r="AT9" s="93" t="str">
        <f t="shared" si="10"/>
        <v>Monthly</v>
      </c>
      <c r="AU9" s="93" t="str">
        <f t="shared" si="10"/>
        <v>Monthly</v>
      </c>
      <c r="AV9" s="93" t="str">
        <f t="shared" si="10"/>
        <v>Monthly</v>
      </c>
      <c r="AW9" s="93" t="str">
        <f t="shared" si="10"/>
        <v>Monthly</v>
      </c>
      <c r="AX9" s="93" t="str">
        <f t="shared" si="10"/>
        <v>Monthly</v>
      </c>
      <c r="AY9" s="93" t="str">
        <f t="shared" si="10"/>
        <v>Monthly</v>
      </c>
      <c r="AZ9" s="93" t="str">
        <f t="shared" si="10"/>
        <v>Monthly</v>
      </c>
      <c r="BA9" s="93" t="str">
        <f t="shared" si="10"/>
        <v>Monthly</v>
      </c>
      <c r="BB9" s="93" t="str">
        <f t="shared" si="10"/>
        <v>Monthly</v>
      </c>
      <c r="BC9" s="93" t="str">
        <f t="shared" si="10"/>
        <v>Monthly</v>
      </c>
      <c r="BD9" s="93" t="str">
        <f t="shared" si="10"/>
        <v>Monthly</v>
      </c>
      <c r="BE9" s="93" t="str">
        <f t="shared" si="10"/>
        <v>Monthly</v>
      </c>
      <c r="BF9" s="93" t="str">
        <f t="shared" si="10"/>
        <v>Monthly</v>
      </c>
      <c r="BG9" s="93" t="str">
        <f t="shared" si="10"/>
        <v>Monthly</v>
      </c>
      <c r="BH9" s="93" t="str">
        <f t="shared" si="10"/>
        <v>Monthly</v>
      </c>
      <c r="BI9" s="93" t="str">
        <f t="shared" si="10"/>
        <v>Monthly</v>
      </c>
      <c r="BJ9" s="93" t="str">
        <f t="shared" si="10"/>
        <v>Monthly</v>
      </c>
      <c r="BK9" s="93" t="str">
        <f t="shared" si="10"/>
        <v>Monthly</v>
      </c>
      <c r="BL9" s="93" t="str">
        <f t="shared" si="10"/>
        <v>Monthly</v>
      </c>
      <c r="BM9" s="93" t="str">
        <f t="shared" si="10"/>
        <v>Monthly</v>
      </c>
      <c r="BN9" s="93" t="str">
        <f t="shared" si="10"/>
        <v>Monthly</v>
      </c>
      <c r="BO9" s="93" t="str">
        <f t="shared" si="10"/>
        <v>Monthly</v>
      </c>
      <c r="BP9" s="93" t="str">
        <f t="shared" si="10"/>
        <v>Monthly</v>
      </c>
      <c r="BQ9" s="93" t="str">
        <f t="shared" si="10"/>
        <v>Monthly</v>
      </c>
      <c r="BR9" s="93" t="str">
        <f t="shared" si="10"/>
        <v>Monthly</v>
      </c>
      <c r="BS9" s="93" t="str">
        <f t="shared" si="10"/>
        <v>Monthly</v>
      </c>
      <c r="BT9" s="20"/>
    </row>
    <row r="10">
      <c r="A10" s="20"/>
      <c r="B10" s="20"/>
      <c r="C10" s="20"/>
      <c r="D10" s="20"/>
      <c r="E10" s="215" t="s">
        <v>26</v>
      </c>
      <c r="F10" s="93">
        <f t="shared" ref="F10:J10" si="11">YEAR(F7)</f>
        <v>2022</v>
      </c>
      <c r="G10" s="93">
        <f t="shared" si="11"/>
        <v>2023</v>
      </c>
      <c r="H10" s="93">
        <f t="shared" si="11"/>
        <v>2024</v>
      </c>
      <c r="I10" s="93">
        <f t="shared" si="11"/>
        <v>2025</v>
      </c>
      <c r="J10" s="93">
        <f t="shared" si="11"/>
        <v>2026</v>
      </c>
      <c r="K10" s="90"/>
      <c r="L10" s="93">
        <f t="shared" ref="L10:BS10" si="12">YEAR(L7)</f>
        <v>2022</v>
      </c>
      <c r="M10" s="93">
        <f t="shared" si="12"/>
        <v>2022</v>
      </c>
      <c r="N10" s="93">
        <f t="shared" si="12"/>
        <v>2022</v>
      </c>
      <c r="O10" s="93">
        <f t="shared" si="12"/>
        <v>2022</v>
      </c>
      <c r="P10" s="93">
        <f t="shared" si="12"/>
        <v>2022</v>
      </c>
      <c r="Q10" s="93">
        <f t="shared" si="12"/>
        <v>2022</v>
      </c>
      <c r="R10" s="93">
        <f t="shared" si="12"/>
        <v>2022</v>
      </c>
      <c r="S10" s="93">
        <f t="shared" si="12"/>
        <v>2022</v>
      </c>
      <c r="T10" s="93">
        <f t="shared" si="12"/>
        <v>2022</v>
      </c>
      <c r="U10" s="93">
        <f t="shared" si="12"/>
        <v>2022</v>
      </c>
      <c r="V10" s="93">
        <f t="shared" si="12"/>
        <v>2022</v>
      </c>
      <c r="W10" s="93">
        <f t="shared" si="12"/>
        <v>2022</v>
      </c>
      <c r="X10" s="93">
        <f t="shared" si="12"/>
        <v>2023</v>
      </c>
      <c r="Y10" s="93">
        <f t="shared" si="12"/>
        <v>2023</v>
      </c>
      <c r="Z10" s="93">
        <f t="shared" si="12"/>
        <v>2023</v>
      </c>
      <c r="AA10" s="93">
        <f t="shared" si="12"/>
        <v>2023</v>
      </c>
      <c r="AB10" s="93">
        <f t="shared" si="12"/>
        <v>2023</v>
      </c>
      <c r="AC10" s="93">
        <f t="shared" si="12"/>
        <v>2023</v>
      </c>
      <c r="AD10" s="93">
        <f t="shared" si="12"/>
        <v>2023</v>
      </c>
      <c r="AE10" s="93">
        <f t="shared" si="12"/>
        <v>2023</v>
      </c>
      <c r="AF10" s="93">
        <f t="shared" si="12"/>
        <v>2023</v>
      </c>
      <c r="AG10" s="93">
        <f t="shared" si="12"/>
        <v>2023</v>
      </c>
      <c r="AH10" s="93">
        <f t="shared" si="12"/>
        <v>2023</v>
      </c>
      <c r="AI10" s="93">
        <f t="shared" si="12"/>
        <v>2023</v>
      </c>
      <c r="AJ10" s="93">
        <f t="shared" si="12"/>
        <v>2024</v>
      </c>
      <c r="AK10" s="93">
        <f t="shared" si="12"/>
        <v>2024</v>
      </c>
      <c r="AL10" s="93">
        <f t="shared" si="12"/>
        <v>2024</v>
      </c>
      <c r="AM10" s="93">
        <f t="shared" si="12"/>
        <v>2024</v>
      </c>
      <c r="AN10" s="93">
        <f t="shared" si="12"/>
        <v>2024</v>
      </c>
      <c r="AO10" s="93">
        <f t="shared" si="12"/>
        <v>2024</v>
      </c>
      <c r="AP10" s="93">
        <f t="shared" si="12"/>
        <v>2024</v>
      </c>
      <c r="AQ10" s="93">
        <f t="shared" si="12"/>
        <v>2024</v>
      </c>
      <c r="AR10" s="93">
        <f t="shared" si="12"/>
        <v>2024</v>
      </c>
      <c r="AS10" s="93">
        <f t="shared" si="12"/>
        <v>2024</v>
      </c>
      <c r="AT10" s="93">
        <f t="shared" si="12"/>
        <v>2024</v>
      </c>
      <c r="AU10" s="93">
        <f t="shared" si="12"/>
        <v>2024</v>
      </c>
      <c r="AV10" s="93">
        <f t="shared" si="12"/>
        <v>2025</v>
      </c>
      <c r="AW10" s="93">
        <f t="shared" si="12"/>
        <v>2025</v>
      </c>
      <c r="AX10" s="93">
        <f t="shared" si="12"/>
        <v>2025</v>
      </c>
      <c r="AY10" s="93">
        <f t="shared" si="12"/>
        <v>2025</v>
      </c>
      <c r="AZ10" s="93">
        <f t="shared" si="12"/>
        <v>2025</v>
      </c>
      <c r="BA10" s="93">
        <f t="shared" si="12"/>
        <v>2025</v>
      </c>
      <c r="BB10" s="93">
        <f t="shared" si="12"/>
        <v>2025</v>
      </c>
      <c r="BC10" s="93">
        <f t="shared" si="12"/>
        <v>2025</v>
      </c>
      <c r="BD10" s="93">
        <f t="shared" si="12"/>
        <v>2025</v>
      </c>
      <c r="BE10" s="93">
        <f t="shared" si="12"/>
        <v>2025</v>
      </c>
      <c r="BF10" s="93">
        <f t="shared" si="12"/>
        <v>2025</v>
      </c>
      <c r="BG10" s="93">
        <f t="shared" si="12"/>
        <v>2025</v>
      </c>
      <c r="BH10" s="93">
        <f t="shared" si="12"/>
        <v>2026</v>
      </c>
      <c r="BI10" s="93">
        <f t="shared" si="12"/>
        <v>2026</v>
      </c>
      <c r="BJ10" s="93">
        <f t="shared" si="12"/>
        <v>2026</v>
      </c>
      <c r="BK10" s="93">
        <f t="shared" si="12"/>
        <v>2026</v>
      </c>
      <c r="BL10" s="93">
        <f t="shared" si="12"/>
        <v>2026</v>
      </c>
      <c r="BM10" s="93">
        <f t="shared" si="12"/>
        <v>2026</v>
      </c>
      <c r="BN10" s="93">
        <f t="shared" si="12"/>
        <v>2026</v>
      </c>
      <c r="BO10" s="93">
        <f t="shared" si="12"/>
        <v>2026</v>
      </c>
      <c r="BP10" s="93">
        <f t="shared" si="12"/>
        <v>2026</v>
      </c>
      <c r="BQ10" s="93">
        <f t="shared" si="12"/>
        <v>2026</v>
      </c>
      <c r="BR10" s="93">
        <f t="shared" si="12"/>
        <v>2026</v>
      </c>
      <c r="BS10" s="93">
        <f t="shared" si="12"/>
        <v>2026</v>
      </c>
      <c r="BT10" s="20"/>
    </row>
    <row r="11" collapsed="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c r="AI11" s="20"/>
      <c r="AJ11" s="20"/>
      <c r="AK11" s="20"/>
      <c r="AL11" s="20"/>
      <c r="AM11" s="20"/>
      <c r="AN11" s="20"/>
      <c r="AO11" s="20"/>
      <c r="AP11" s="20"/>
      <c r="AQ11" s="20"/>
      <c r="AR11" s="20"/>
      <c r="AS11" s="20"/>
      <c r="AT11" s="20"/>
      <c r="AU11" s="20"/>
      <c r="AV11" s="20"/>
      <c r="AW11" s="20"/>
      <c r="AX11" s="20"/>
      <c r="AY11" s="20"/>
      <c r="AZ11" s="20"/>
      <c r="BA11" s="20"/>
      <c r="BB11" s="20"/>
      <c r="BC11" s="20"/>
      <c r="BD11" s="20"/>
      <c r="BE11" s="20"/>
      <c r="BF11" s="20"/>
      <c r="BG11" s="20"/>
      <c r="BH11" s="20"/>
      <c r="BI11" s="20"/>
      <c r="BJ11" s="20"/>
      <c r="BK11" s="20"/>
      <c r="BL11" s="20"/>
      <c r="BM11" s="20"/>
      <c r="BN11" s="20"/>
      <c r="BO11" s="20"/>
      <c r="BP11" s="20"/>
      <c r="BQ11" s="20"/>
      <c r="BR11" s="20"/>
      <c r="BS11" s="20"/>
      <c r="BT11" s="20"/>
    </row>
    <row r="12" hidden="1" outlineLevel="1">
      <c r="A12" s="20"/>
      <c r="B12" s="20"/>
      <c r="C12" s="20"/>
      <c r="D12" s="20"/>
      <c r="E12" s="94" t="s">
        <v>27</v>
      </c>
      <c r="F12" s="95"/>
      <c r="G12" s="95"/>
      <c r="H12" s="95"/>
      <c r="I12" s="95"/>
      <c r="J12" s="95"/>
      <c r="K12" s="96"/>
      <c r="L12" s="95"/>
      <c r="M12" s="95"/>
      <c r="N12" s="95"/>
      <c r="O12" s="95"/>
      <c r="P12" s="95"/>
      <c r="Q12" s="95"/>
      <c r="R12" s="95"/>
      <c r="S12" s="95"/>
      <c r="T12" s="95"/>
      <c r="U12" s="95"/>
      <c r="V12" s="95"/>
      <c r="W12" s="95"/>
      <c r="X12" s="95"/>
      <c r="Y12" s="95"/>
      <c r="Z12" s="95"/>
      <c r="AA12" s="95"/>
      <c r="AB12" s="95"/>
      <c r="AC12" s="95"/>
      <c r="AD12" s="95"/>
      <c r="AE12" s="95"/>
      <c r="AF12" s="95"/>
      <c r="AG12" s="95"/>
      <c r="AH12" s="95"/>
      <c r="AI12" s="95"/>
      <c r="AJ12" s="95"/>
      <c r="AK12" s="95"/>
      <c r="AL12" s="95"/>
      <c r="AM12" s="95"/>
      <c r="AN12" s="95"/>
      <c r="AO12" s="95"/>
      <c r="AP12" s="95"/>
      <c r="AQ12" s="95"/>
      <c r="AR12" s="95"/>
      <c r="AS12" s="95"/>
      <c r="AT12" s="95"/>
      <c r="AU12" s="95"/>
      <c r="AV12" s="95"/>
      <c r="AW12" s="95"/>
      <c r="AX12" s="95"/>
      <c r="AY12" s="95"/>
      <c r="AZ12" s="95"/>
      <c r="BA12" s="95"/>
      <c r="BB12" s="95"/>
      <c r="BC12" s="95"/>
      <c r="BD12" s="95"/>
      <c r="BE12" s="95"/>
      <c r="BF12" s="95"/>
      <c r="BG12" s="95"/>
      <c r="BH12" s="95"/>
      <c r="BI12" s="95"/>
      <c r="BJ12" s="95"/>
      <c r="BK12" s="95"/>
      <c r="BL12" s="95"/>
      <c r="BM12" s="95"/>
      <c r="BN12" s="95"/>
      <c r="BO12" s="95"/>
      <c r="BP12" s="95"/>
      <c r="BQ12" s="95"/>
      <c r="BR12" s="95"/>
      <c r="BS12" s="95"/>
      <c r="BT12" s="20"/>
    </row>
    <row r="13" hidden="1" outlineLevel="1">
      <c r="A13" s="20"/>
      <c r="B13" s="20"/>
      <c r="C13" s="20"/>
      <c r="D13" s="20"/>
      <c r="E13" s="87" t="s">
        <v>28</v>
      </c>
      <c r="F13" s="97">
        <f>IF(AND(F7&gt;='Key Assumptions'!$D$13,F7&lt;'Key Assumptions'!$D$14),1,0)</f>
        <v>1</v>
      </c>
      <c r="G13" s="97">
        <f>IF(AND(G7&gt;='Key Assumptions'!$D$13,G7&lt;'Key Assumptions'!$D$14),1,0)</f>
        <v>1</v>
      </c>
      <c r="H13" s="97">
        <f>IF(AND(H7&gt;='Key Assumptions'!$D$13,H7&lt;'Key Assumptions'!$D$14),1,0)</f>
        <v>0</v>
      </c>
      <c r="I13" s="97">
        <f>IF(AND(I7&gt;='Key Assumptions'!$D$13,I7&lt;'Key Assumptions'!$D$14),1,0)</f>
        <v>0</v>
      </c>
      <c r="J13" s="97">
        <f>IF(AND(J7&gt;='Key Assumptions'!$D$13,J7&lt;'Key Assumptions'!$D$14),1,0)</f>
        <v>0</v>
      </c>
      <c r="K13" s="98"/>
      <c r="L13" s="97">
        <f>IF(AND(L7&gt;='Key Assumptions'!$D$13,L7&lt;'Key Assumptions'!$D$14),1,0)</f>
        <v>1</v>
      </c>
      <c r="M13" s="97">
        <f>IF(AND(M7&gt;='Key Assumptions'!$D$13,M7&lt;'Key Assumptions'!$D$14),1,0)</f>
        <v>1</v>
      </c>
      <c r="N13" s="97">
        <f>IF(AND(N7&gt;='Key Assumptions'!$D$13,N7&lt;'Key Assumptions'!$D$14),1,0)</f>
        <v>1</v>
      </c>
      <c r="O13" s="97">
        <f>IF(AND(O7&gt;='Key Assumptions'!$D$13,O7&lt;'Key Assumptions'!$D$14),1,0)</f>
        <v>1</v>
      </c>
      <c r="P13" s="97">
        <f>IF(AND(P7&gt;='Key Assumptions'!$D$13,P7&lt;'Key Assumptions'!$D$14),1,0)</f>
        <v>1</v>
      </c>
      <c r="Q13" s="97">
        <f>IF(AND(Q7&gt;='Key Assumptions'!$D$13,Q7&lt;'Key Assumptions'!$D$14),1,0)</f>
        <v>1</v>
      </c>
      <c r="R13" s="97">
        <f>IF(AND(R7&gt;='Key Assumptions'!$D$13,R7&lt;'Key Assumptions'!$D$14),1,0)</f>
        <v>1</v>
      </c>
      <c r="S13" s="97">
        <f>IF(AND(S7&gt;='Key Assumptions'!$D$13,S7&lt;'Key Assumptions'!$D$14),1,0)</f>
        <v>1</v>
      </c>
      <c r="T13" s="97">
        <f>IF(AND(T7&gt;='Key Assumptions'!$D$13,T7&lt;'Key Assumptions'!$D$14),1,0)</f>
        <v>1</v>
      </c>
      <c r="U13" s="97">
        <f>IF(AND(U7&gt;='Key Assumptions'!$D$13,U7&lt;'Key Assumptions'!$D$14),1,0)</f>
        <v>1</v>
      </c>
      <c r="V13" s="97">
        <f>IF(AND(V7&gt;='Key Assumptions'!$D$13,V7&lt;'Key Assumptions'!$D$14),1,0)</f>
        <v>1</v>
      </c>
      <c r="W13" s="97">
        <f>IF(AND(W7&gt;='Key Assumptions'!$D$13,W7&lt;'Key Assumptions'!$D$14),1,0)</f>
        <v>1</v>
      </c>
      <c r="X13" s="97">
        <f>IF(AND(X7&gt;='Key Assumptions'!$D$13,X7&lt;'Key Assumptions'!$D$14),1,0)</f>
        <v>1</v>
      </c>
      <c r="Y13" s="97">
        <f>IF(AND(Y7&gt;='Key Assumptions'!$D$13,Y7&lt;'Key Assumptions'!$D$14),1,0)</f>
        <v>1</v>
      </c>
      <c r="Z13" s="97">
        <f>IF(AND(Z7&gt;='Key Assumptions'!$D$13,Z7&lt;'Key Assumptions'!$D$14),1,0)</f>
        <v>1</v>
      </c>
      <c r="AA13" s="97">
        <f>IF(AND(AA7&gt;='Key Assumptions'!$D$13,AA7&lt;'Key Assumptions'!$D$14),1,0)</f>
        <v>1</v>
      </c>
      <c r="AB13" s="97">
        <f>IF(AND(AB7&gt;='Key Assumptions'!$D$13,AB7&lt;'Key Assumptions'!$D$14),1,0)</f>
        <v>1</v>
      </c>
      <c r="AC13" s="97">
        <f>IF(AND(AC7&gt;='Key Assumptions'!$D$13,AC7&lt;'Key Assumptions'!$D$14),1,0)</f>
        <v>1</v>
      </c>
      <c r="AD13" s="97">
        <f>IF(AND(AD7&gt;='Key Assumptions'!$D$13,AD7&lt;'Key Assumptions'!$D$14),1,0)</f>
        <v>0</v>
      </c>
      <c r="AE13" s="97">
        <f>IF(AND(AE7&gt;='Key Assumptions'!$D$13,AE7&lt;'Key Assumptions'!$D$14),1,0)</f>
        <v>0</v>
      </c>
      <c r="AF13" s="97">
        <f>IF(AND(AF7&gt;='Key Assumptions'!$D$13,AF7&lt;'Key Assumptions'!$D$14),1,0)</f>
        <v>0</v>
      </c>
      <c r="AG13" s="97">
        <f>IF(AND(AG7&gt;='Key Assumptions'!$D$13,AG7&lt;'Key Assumptions'!$D$14),1,0)</f>
        <v>0</v>
      </c>
      <c r="AH13" s="97">
        <f>IF(AND(AH7&gt;='Key Assumptions'!$D$13,AH7&lt;'Key Assumptions'!$D$14),1,0)</f>
        <v>0</v>
      </c>
      <c r="AI13" s="97">
        <f>IF(AND(AI7&gt;='Key Assumptions'!$D$13,AI7&lt;'Key Assumptions'!$D$14),1,0)</f>
        <v>0</v>
      </c>
      <c r="AJ13" s="97">
        <f>IF(AND(AJ7&gt;='Key Assumptions'!$D$13,AJ7&lt;'Key Assumptions'!$D$14),1,0)</f>
        <v>0</v>
      </c>
      <c r="AK13" s="97">
        <f>IF(AND(AK7&gt;='Key Assumptions'!$D$13,AK7&lt;'Key Assumptions'!$D$14),1,0)</f>
        <v>0</v>
      </c>
      <c r="AL13" s="97">
        <f>IF(AND(AL7&gt;='Key Assumptions'!$D$13,AL7&lt;'Key Assumptions'!$D$14),1,0)</f>
        <v>0</v>
      </c>
      <c r="AM13" s="97">
        <f>IF(AND(AM7&gt;='Key Assumptions'!$D$13,AM7&lt;'Key Assumptions'!$D$14),1,0)</f>
        <v>0</v>
      </c>
      <c r="AN13" s="97">
        <f>IF(AND(AN7&gt;='Key Assumptions'!$D$13,AN7&lt;'Key Assumptions'!$D$14),1,0)</f>
        <v>0</v>
      </c>
      <c r="AO13" s="97">
        <f>IF(AND(AO7&gt;='Key Assumptions'!$D$13,AO7&lt;'Key Assumptions'!$D$14),1,0)</f>
        <v>0</v>
      </c>
      <c r="AP13" s="97">
        <f>IF(AND(AP7&gt;='Key Assumptions'!$D$13,AP7&lt;'Key Assumptions'!$D$14),1,0)</f>
        <v>0</v>
      </c>
      <c r="AQ13" s="97">
        <f>IF(AND(AQ7&gt;='Key Assumptions'!$D$13,AQ7&lt;'Key Assumptions'!$D$14),1,0)</f>
        <v>0</v>
      </c>
      <c r="AR13" s="97">
        <f>IF(AND(AR7&gt;='Key Assumptions'!$D$13,AR7&lt;'Key Assumptions'!$D$14),1,0)</f>
        <v>0</v>
      </c>
      <c r="AS13" s="97">
        <f>IF(AND(AS7&gt;='Key Assumptions'!$D$13,AS7&lt;'Key Assumptions'!$D$14),1,0)</f>
        <v>0</v>
      </c>
      <c r="AT13" s="97">
        <f>IF(AND(AT7&gt;='Key Assumptions'!$D$13,AT7&lt;'Key Assumptions'!$D$14),1,0)</f>
        <v>0</v>
      </c>
      <c r="AU13" s="97">
        <f>IF(AND(AU7&gt;='Key Assumptions'!$D$13,AU7&lt;'Key Assumptions'!$D$14),1,0)</f>
        <v>0</v>
      </c>
      <c r="AV13" s="97">
        <f>IF(AND(AV7&gt;='Key Assumptions'!$D$13,AV7&lt;'Key Assumptions'!$D$14),1,0)</f>
        <v>0</v>
      </c>
      <c r="AW13" s="97">
        <f>IF(AND(AW7&gt;='Key Assumptions'!$D$13,AW7&lt;'Key Assumptions'!$D$14),1,0)</f>
        <v>0</v>
      </c>
      <c r="AX13" s="97">
        <f>IF(AND(AX7&gt;='Key Assumptions'!$D$13,AX7&lt;'Key Assumptions'!$D$14),1,0)</f>
        <v>0</v>
      </c>
      <c r="AY13" s="97">
        <f>IF(AND(AY7&gt;='Key Assumptions'!$D$13,AY7&lt;'Key Assumptions'!$D$14),1,0)</f>
        <v>0</v>
      </c>
      <c r="AZ13" s="97">
        <f>IF(AND(AZ7&gt;='Key Assumptions'!$D$13,AZ7&lt;'Key Assumptions'!$D$14),1,0)</f>
        <v>0</v>
      </c>
      <c r="BA13" s="97">
        <f>IF(AND(BA7&gt;='Key Assumptions'!$D$13,BA7&lt;'Key Assumptions'!$D$14),1,0)</f>
        <v>0</v>
      </c>
      <c r="BB13" s="97">
        <f>IF(AND(BB7&gt;='Key Assumptions'!$D$13,BB7&lt;'Key Assumptions'!$D$14),1,0)</f>
        <v>0</v>
      </c>
      <c r="BC13" s="97">
        <f>IF(AND(BC7&gt;='Key Assumptions'!$D$13,BC7&lt;'Key Assumptions'!$D$14),1,0)</f>
        <v>0</v>
      </c>
      <c r="BD13" s="97">
        <f>IF(AND(BD7&gt;='Key Assumptions'!$D$13,BD7&lt;'Key Assumptions'!$D$14),1,0)</f>
        <v>0</v>
      </c>
      <c r="BE13" s="97">
        <f>IF(AND(BE7&gt;='Key Assumptions'!$D$13,BE7&lt;'Key Assumptions'!$D$14),1,0)</f>
        <v>0</v>
      </c>
      <c r="BF13" s="97">
        <f>IF(AND(BF7&gt;='Key Assumptions'!$D$13,BF7&lt;'Key Assumptions'!$D$14),1,0)</f>
        <v>0</v>
      </c>
      <c r="BG13" s="97">
        <f>IF(AND(BG7&gt;='Key Assumptions'!$D$13,BG7&lt;'Key Assumptions'!$D$14),1,0)</f>
        <v>0</v>
      </c>
      <c r="BH13" s="97">
        <f>IF(AND(BH7&gt;='Key Assumptions'!$D$13,BH7&lt;'Key Assumptions'!$D$14),1,0)</f>
        <v>0</v>
      </c>
      <c r="BI13" s="97">
        <f>IF(AND(BI7&gt;='Key Assumptions'!$D$13,BI7&lt;'Key Assumptions'!$D$14),1,0)</f>
        <v>0</v>
      </c>
      <c r="BJ13" s="97">
        <f>IF(AND(BJ7&gt;='Key Assumptions'!$D$13,BJ7&lt;'Key Assumptions'!$D$14),1,0)</f>
        <v>0</v>
      </c>
      <c r="BK13" s="97">
        <f>IF(AND(BK7&gt;='Key Assumptions'!$D$13,BK7&lt;'Key Assumptions'!$D$14),1,0)</f>
        <v>0</v>
      </c>
      <c r="BL13" s="97">
        <f>IF(AND(BL7&gt;='Key Assumptions'!$D$13,BL7&lt;'Key Assumptions'!$D$14),1,0)</f>
        <v>0</v>
      </c>
      <c r="BM13" s="97">
        <f>IF(AND(BM7&gt;='Key Assumptions'!$D$13,BM7&lt;'Key Assumptions'!$D$14),1,0)</f>
        <v>0</v>
      </c>
      <c r="BN13" s="97">
        <f>IF(AND(BN7&gt;='Key Assumptions'!$D$13,BN7&lt;'Key Assumptions'!$D$14),1,0)</f>
        <v>0</v>
      </c>
      <c r="BO13" s="97">
        <f>IF(AND(BO7&gt;='Key Assumptions'!$D$13,BO7&lt;'Key Assumptions'!$D$14),1,0)</f>
        <v>0</v>
      </c>
      <c r="BP13" s="97">
        <f>IF(AND(BP7&gt;='Key Assumptions'!$D$13,BP7&lt;'Key Assumptions'!$D$14),1,0)</f>
        <v>0</v>
      </c>
      <c r="BQ13" s="97">
        <f>IF(AND(BQ7&gt;='Key Assumptions'!$D$13,BQ7&lt;'Key Assumptions'!$D$14),1,0)</f>
        <v>0</v>
      </c>
      <c r="BR13" s="97">
        <f>IF(AND(BR7&gt;='Key Assumptions'!$D$13,BR7&lt;'Key Assumptions'!$D$14),1,0)</f>
        <v>0</v>
      </c>
      <c r="BS13" s="97">
        <f>IF(AND(BS7&gt;='Key Assumptions'!$D$13,BS7&lt;'Key Assumptions'!$D$14),1,0)</f>
        <v>0</v>
      </c>
      <c r="BT13" s="20"/>
    </row>
    <row r="14" hidden="1" outlineLevel="1">
      <c r="A14" s="20"/>
      <c r="B14" s="20"/>
      <c r="C14" s="20"/>
      <c r="D14" s="20"/>
      <c r="E14" s="91" t="s">
        <v>29</v>
      </c>
      <c r="F14" s="100">
        <f>IF(AND(F7&gt;='Key Assumptions'!$D$15,F7&lt;'Key Assumptions'!$D$16),1,0)</f>
        <v>0</v>
      </c>
      <c r="G14" s="100">
        <f>IF(AND(G7&gt;='Key Assumptions'!$D$15,G7&lt;'Key Assumptions'!$D$16),1,0)</f>
        <v>0</v>
      </c>
      <c r="H14" s="100">
        <f>IF(AND(H7&gt;='Key Assumptions'!$D$15,H7&lt;'Key Assumptions'!$D$16),1,0)</f>
        <v>1</v>
      </c>
      <c r="I14" s="100">
        <f>IF(AND(I7&gt;='Key Assumptions'!$D$15,I7&lt;'Key Assumptions'!$D$16),1,0)</f>
        <v>1</v>
      </c>
      <c r="J14" s="100">
        <f>IF(AND(J7&gt;='Key Assumptions'!$D$15,J7&lt;'Key Assumptions'!$D$16),1,0)</f>
        <v>1</v>
      </c>
      <c r="K14" s="101"/>
      <c r="L14" s="100">
        <f>IF(AND(L7&gt;='Key Assumptions'!$D$15,L7&lt;'Key Assumptions'!$D$16),1,0)</f>
        <v>0</v>
      </c>
      <c r="M14" s="100">
        <f>IF(AND(M7&gt;='Key Assumptions'!$D$15,M7&lt;'Key Assumptions'!$D$16),1,0)</f>
        <v>0</v>
      </c>
      <c r="N14" s="100">
        <f>IF(AND(N7&gt;='Key Assumptions'!$D$15,N7&lt;'Key Assumptions'!$D$16),1,0)</f>
        <v>0</v>
      </c>
      <c r="O14" s="100">
        <f>IF(AND(O7&gt;='Key Assumptions'!$D$15,O7&lt;'Key Assumptions'!$D$16),1,0)</f>
        <v>0</v>
      </c>
      <c r="P14" s="100">
        <f>IF(AND(P7&gt;='Key Assumptions'!$D$15,P7&lt;'Key Assumptions'!$D$16),1,0)</f>
        <v>0</v>
      </c>
      <c r="Q14" s="100">
        <f>IF(AND(Q7&gt;='Key Assumptions'!$D$15,Q7&lt;'Key Assumptions'!$D$16),1,0)</f>
        <v>0</v>
      </c>
      <c r="R14" s="100">
        <f>IF(AND(R7&gt;='Key Assumptions'!$D$15,R7&lt;'Key Assumptions'!$D$16),1,0)</f>
        <v>0</v>
      </c>
      <c r="S14" s="100">
        <f>IF(AND(S7&gt;='Key Assumptions'!$D$15,S7&lt;'Key Assumptions'!$D$16),1,0)</f>
        <v>0</v>
      </c>
      <c r="T14" s="100">
        <f>IF(AND(T7&gt;='Key Assumptions'!$D$15,T7&lt;'Key Assumptions'!$D$16),1,0)</f>
        <v>0</v>
      </c>
      <c r="U14" s="100">
        <f>IF(AND(U7&gt;='Key Assumptions'!$D$15,U7&lt;'Key Assumptions'!$D$16),1,0)</f>
        <v>0</v>
      </c>
      <c r="V14" s="100">
        <f>IF(AND(V7&gt;='Key Assumptions'!$D$15,V7&lt;'Key Assumptions'!$D$16),1,0)</f>
        <v>0</v>
      </c>
      <c r="W14" s="100">
        <f>IF(AND(W7&gt;='Key Assumptions'!$D$15,W7&lt;'Key Assumptions'!$D$16),1,0)</f>
        <v>0</v>
      </c>
      <c r="X14" s="100">
        <f>IF(AND(X7&gt;='Key Assumptions'!$D$15,X7&lt;'Key Assumptions'!$D$16),1,0)</f>
        <v>0</v>
      </c>
      <c r="Y14" s="100">
        <f>IF(AND(Y7&gt;='Key Assumptions'!$D$15,Y7&lt;'Key Assumptions'!$D$16),1,0)</f>
        <v>0</v>
      </c>
      <c r="Z14" s="100">
        <f>IF(AND(Z7&gt;='Key Assumptions'!$D$15,Z7&lt;'Key Assumptions'!$D$16),1,0)</f>
        <v>0</v>
      </c>
      <c r="AA14" s="100">
        <f>IF(AND(AA7&gt;='Key Assumptions'!$D$15,AA7&lt;'Key Assumptions'!$D$16),1,0)</f>
        <v>0</v>
      </c>
      <c r="AB14" s="100">
        <f>IF(AND(AB7&gt;='Key Assumptions'!$D$15,AB7&lt;'Key Assumptions'!$D$16),1,0)</f>
        <v>0</v>
      </c>
      <c r="AC14" s="100">
        <f>IF(AND(AC7&gt;='Key Assumptions'!$D$15,AC7&lt;'Key Assumptions'!$D$16),1,0)</f>
        <v>0</v>
      </c>
      <c r="AD14" s="100">
        <f>IF(AND(AD7&gt;='Key Assumptions'!$D$15,AD7&lt;'Key Assumptions'!$D$16),1,0)</f>
        <v>1</v>
      </c>
      <c r="AE14" s="100">
        <f>IF(AND(AE7&gt;='Key Assumptions'!$D$15,AE7&lt;'Key Assumptions'!$D$16),1,0)</f>
        <v>1</v>
      </c>
      <c r="AF14" s="100">
        <f>IF(AND(AF7&gt;='Key Assumptions'!$D$15,AF7&lt;'Key Assumptions'!$D$16),1,0)</f>
        <v>1</v>
      </c>
      <c r="AG14" s="100">
        <f>IF(AND(AG7&gt;='Key Assumptions'!$D$15,AG7&lt;'Key Assumptions'!$D$16),1,0)</f>
        <v>1</v>
      </c>
      <c r="AH14" s="100">
        <f>IF(AND(AH7&gt;='Key Assumptions'!$D$15,AH7&lt;'Key Assumptions'!$D$16),1,0)</f>
        <v>1</v>
      </c>
      <c r="AI14" s="100">
        <f>IF(AND(AI7&gt;='Key Assumptions'!$D$15,AI7&lt;'Key Assumptions'!$D$16),1,0)</f>
        <v>1</v>
      </c>
      <c r="AJ14" s="100">
        <f>IF(AND(AJ7&gt;='Key Assumptions'!$D$15,AJ7&lt;'Key Assumptions'!$D$16),1,0)</f>
        <v>1</v>
      </c>
      <c r="AK14" s="100">
        <f>IF(AND(AK7&gt;='Key Assumptions'!$D$15,AK7&lt;'Key Assumptions'!$D$16),1,0)</f>
        <v>1</v>
      </c>
      <c r="AL14" s="100">
        <f>IF(AND(AL7&gt;='Key Assumptions'!$D$15,AL7&lt;'Key Assumptions'!$D$16),1,0)</f>
        <v>1</v>
      </c>
      <c r="AM14" s="100">
        <f>IF(AND(AM7&gt;='Key Assumptions'!$D$15,AM7&lt;'Key Assumptions'!$D$16),1,0)</f>
        <v>1</v>
      </c>
      <c r="AN14" s="100">
        <f>IF(AND(AN7&gt;='Key Assumptions'!$D$15,AN7&lt;'Key Assumptions'!$D$16),1,0)</f>
        <v>1</v>
      </c>
      <c r="AO14" s="100">
        <f>IF(AND(AO7&gt;='Key Assumptions'!$D$15,AO7&lt;'Key Assumptions'!$D$16),1,0)</f>
        <v>1</v>
      </c>
      <c r="AP14" s="100">
        <f>IF(AND(AP7&gt;='Key Assumptions'!$D$15,AP7&lt;'Key Assumptions'!$D$16),1,0)</f>
        <v>1</v>
      </c>
      <c r="AQ14" s="100">
        <f>IF(AND(AQ7&gt;='Key Assumptions'!$D$15,AQ7&lt;'Key Assumptions'!$D$16),1,0)</f>
        <v>1</v>
      </c>
      <c r="AR14" s="100">
        <f>IF(AND(AR7&gt;='Key Assumptions'!$D$15,AR7&lt;'Key Assumptions'!$D$16),1,0)</f>
        <v>1</v>
      </c>
      <c r="AS14" s="100">
        <f>IF(AND(AS7&gt;='Key Assumptions'!$D$15,AS7&lt;'Key Assumptions'!$D$16),1,0)</f>
        <v>1</v>
      </c>
      <c r="AT14" s="100">
        <f>IF(AND(AT7&gt;='Key Assumptions'!$D$15,AT7&lt;'Key Assumptions'!$D$16),1,0)</f>
        <v>1</v>
      </c>
      <c r="AU14" s="100">
        <f>IF(AND(AU7&gt;='Key Assumptions'!$D$15,AU7&lt;'Key Assumptions'!$D$16),1,0)</f>
        <v>1</v>
      </c>
      <c r="AV14" s="100">
        <f>IF(AND(AV7&gt;='Key Assumptions'!$D$15,AV7&lt;'Key Assumptions'!$D$16),1,0)</f>
        <v>1</v>
      </c>
      <c r="AW14" s="100">
        <f>IF(AND(AW7&gt;='Key Assumptions'!$D$15,AW7&lt;'Key Assumptions'!$D$16),1,0)</f>
        <v>1</v>
      </c>
      <c r="AX14" s="100">
        <f>IF(AND(AX7&gt;='Key Assumptions'!$D$15,AX7&lt;'Key Assumptions'!$D$16),1,0)</f>
        <v>1</v>
      </c>
      <c r="AY14" s="100">
        <f>IF(AND(AY7&gt;='Key Assumptions'!$D$15,AY7&lt;'Key Assumptions'!$D$16),1,0)</f>
        <v>1</v>
      </c>
      <c r="AZ14" s="100">
        <f>IF(AND(AZ7&gt;='Key Assumptions'!$D$15,AZ7&lt;'Key Assumptions'!$D$16),1,0)</f>
        <v>1</v>
      </c>
      <c r="BA14" s="100">
        <f>IF(AND(BA7&gt;='Key Assumptions'!$D$15,BA7&lt;'Key Assumptions'!$D$16),1,0)</f>
        <v>1</v>
      </c>
      <c r="BB14" s="100">
        <f>IF(AND(BB7&gt;='Key Assumptions'!$D$15,BB7&lt;'Key Assumptions'!$D$16),1,0)</f>
        <v>1</v>
      </c>
      <c r="BC14" s="100">
        <f>IF(AND(BC7&gt;='Key Assumptions'!$D$15,BC7&lt;'Key Assumptions'!$D$16),1,0)</f>
        <v>1</v>
      </c>
      <c r="BD14" s="100">
        <f>IF(AND(BD7&gt;='Key Assumptions'!$D$15,BD7&lt;'Key Assumptions'!$D$16),1,0)</f>
        <v>1</v>
      </c>
      <c r="BE14" s="100">
        <f>IF(AND(BE7&gt;='Key Assumptions'!$D$15,BE7&lt;'Key Assumptions'!$D$16),1,0)</f>
        <v>1</v>
      </c>
      <c r="BF14" s="100">
        <f>IF(AND(BF7&gt;='Key Assumptions'!$D$15,BF7&lt;'Key Assumptions'!$D$16),1,0)</f>
        <v>1</v>
      </c>
      <c r="BG14" s="100">
        <f>IF(AND(BG7&gt;='Key Assumptions'!$D$15,BG7&lt;'Key Assumptions'!$D$16),1,0)</f>
        <v>1</v>
      </c>
      <c r="BH14" s="100">
        <f>IF(AND(BH7&gt;='Key Assumptions'!$D$15,BH7&lt;'Key Assumptions'!$D$16),1,0)</f>
        <v>1</v>
      </c>
      <c r="BI14" s="100">
        <f>IF(AND(BI7&gt;='Key Assumptions'!$D$15,BI7&lt;'Key Assumptions'!$D$16),1,0)</f>
        <v>1</v>
      </c>
      <c r="BJ14" s="100">
        <f>IF(AND(BJ7&gt;='Key Assumptions'!$D$15,BJ7&lt;'Key Assumptions'!$D$16),1,0)</f>
        <v>1</v>
      </c>
      <c r="BK14" s="100">
        <f>IF(AND(BK7&gt;='Key Assumptions'!$D$15,BK7&lt;'Key Assumptions'!$D$16),1,0)</f>
        <v>1</v>
      </c>
      <c r="BL14" s="100">
        <f>IF(AND(BL7&gt;='Key Assumptions'!$D$15,BL7&lt;'Key Assumptions'!$D$16),1,0)</f>
        <v>1</v>
      </c>
      <c r="BM14" s="100">
        <f>IF(AND(BM7&gt;='Key Assumptions'!$D$15,BM7&lt;'Key Assumptions'!$D$16),1,0)</f>
        <v>1</v>
      </c>
      <c r="BN14" s="100">
        <f>IF(AND(BN7&gt;='Key Assumptions'!$D$15,BN7&lt;'Key Assumptions'!$D$16),1,0)</f>
        <v>1</v>
      </c>
      <c r="BO14" s="100">
        <f>IF(AND(BO7&gt;='Key Assumptions'!$D$15,BO7&lt;'Key Assumptions'!$D$16),1,0)</f>
        <v>1</v>
      </c>
      <c r="BP14" s="100">
        <f>IF(AND(BP7&gt;='Key Assumptions'!$D$15,BP7&lt;'Key Assumptions'!$D$16),1,0)</f>
        <v>1</v>
      </c>
      <c r="BQ14" s="100">
        <f>IF(AND(BQ7&gt;='Key Assumptions'!$D$15,BQ7&lt;'Key Assumptions'!$D$16),1,0)</f>
        <v>1</v>
      </c>
      <c r="BR14" s="100">
        <f>IF(AND(BR7&gt;='Key Assumptions'!$D$15,BR7&lt;'Key Assumptions'!$D$16),1,0)</f>
        <v>1</v>
      </c>
      <c r="BS14" s="100">
        <f>IF(AND(BS7&gt;='Key Assumptions'!$D$15,BS7&lt;'Key Assumptions'!$D$16),1,0)</f>
        <v>1</v>
      </c>
      <c r="BT14" s="20"/>
    </row>
    <row r="15" hidden="1" outlineLevel="1">
      <c r="A15" s="20"/>
      <c r="B15" s="20"/>
      <c r="C15" s="20"/>
      <c r="D15" s="20"/>
      <c r="E15" s="91" t="s">
        <v>30</v>
      </c>
      <c r="F15" s="100">
        <f t="shared" ref="F15:J15" si="13">COUNTA($F$7:F7)</f>
        <v>1</v>
      </c>
      <c r="G15" s="100">
        <f t="shared" si="13"/>
        <v>2</v>
      </c>
      <c r="H15" s="100">
        <f t="shared" si="13"/>
        <v>3</v>
      </c>
      <c r="I15" s="100">
        <f t="shared" si="13"/>
        <v>4</v>
      </c>
      <c r="J15" s="100">
        <f t="shared" si="13"/>
        <v>5</v>
      </c>
      <c r="K15" s="101"/>
      <c r="L15" s="100">
        <f t="shared" ref="L15:BS15" si="14">INDEX($F$15:$J$15,MATCH(YEAR(L$7),$F$10:$J$10,0))</f>
        <v>1</v>
      </c>
      <c r="M15" s="100">
        <f t="shared" si="14"/>
        <v>1</v>
      </c>
      <c r="N15" s="100">
        <f t="shared" si="14"/>
        <v>1</v>
      </c>
      <c r="O15" s="100">
        <f t="shared" si="14"/>
        <v>1</v>
      </c>
      <c r="P15" s="100">
        <f t="shared" si="14"/>
        <v>1</v>
      </c>
      <c r="Q15" s="100">
        <f t="shared" si="14"/>
        <v>1</v>
      </c>
      <c r="R15" s="100">
        <f t="shared" si="14"/>
        <v>1</v>
      </c>
      <c r="S15" s="100">
        <f t="shared" si="14"/>
        <v>1</v>
      </c>
      <c r="T15" s="100">
        <f t="shared" si="14"/>
        <v>1</v>
      </c>
      <c r="U15" s="100">
        <f t="shared" si="14"/>
        <v>1</v>
      </c>
      <c r="V15" s="100">
        <f t="shared" si="14"/>
        <v>1</v>
      </c>
      <c r="W15" s="100">
        <f t="shared" si="14"/>
        <v>1</v>
      </c>
      <c r="X15" s="100">
        <f t="shared" si="14"/>
        <v>2</v>
      </c>
      <c r="Y15" s="100">
        <f t="shared" si="14"/>
        <v>2</v>
      </c>
      <c r="Z15" s="100">
        <f t="shared" si="14"/>
        <v>2</v>
      </c>
      <c r="AA15" s="100">
        <f t="shared" si="14"/>
        <v>2</v>
      </c>
      <c r="AB15" s="100">
        <f t="shared" si="14"/>
        <v>2</v>
      </c>
      <c r="AC15" s="100">
        <f t="shared" si="14"/>
        <v>2</v>
      </c>
      <c r="AD15" s="100">
        <f t="shared" si="14"/>
        <v>2</v>
      </c>
      <c r="AE15" s="100">
        <f t="shared" si="14"/>
        <v>2</v>
      </c>
      <c r="AF15" s="100">
        <f t="shared" si="14"/>
        <v>2</v>
      </c>
      <c r="AG15" s="100">
        <f t="shared" si="14"/>
        <v>2</v>
      </c>
      <c r="AH15" s="100">
        <f t="shared" si="14"/>
        <v>2</v>
      </c>
      <c r="AI15" s="100">
        <f t="shared" si="14"/>
        <v>2</v>
      </c>
      <c r="AJ15" s="100">
        <f t="shared" si="14"/>
        <v>3</v>
      </c>
      <c r="AK15" s="100">
        <f t="shared" si="14"/>
        <v>3</v>
      </c>
      <c r="AL15" s="100">
        <f t="shared" si="14"/>
        <v>3</v>
      </c>
      <c r="AM15" s="100">
        <f t="shared" si="14"/>
        <v>3</v>
      </c>
      <c r="AN15" s="100">
        <f t="shared" si="14"/>
        <v>3</v>
      </c>
      <c r="AO15" s="100">
        <f t="shared" si="14"/>
        <v>3</v>
      </c>
      <c r="AP15" s="100">
        <f t="shared" si="14"/>
        <v>3</v>
      </c>
      <c r="AQ15" s="100">
        <f t="shared" si="14"/>
        <v>3</v>
      </c>
      <c r="AR15" s="100">
        <f t="shared" si="14"/>
        <v>3</v>
      </c>
      <c r="AS15" s="100">
        <f t="shared" si="14"/>
        <v>3</v>
      </c>
      <c r="AT15" s="100">
        <f t="shared" si="14"/>
        <v>3</v>
      </c>
      <c r="AU15" s="100">
        <f t="shared" si="14"/>
        <v>3</v>
      </c>
      <c r="AV15" s="100">
        <f t="shared" si="14"/>
        <v>4</v>
      </c>
      <c r="AW15" s="100">
        <f t="shared" si="14"/>
        <v>4</v>
      </c>
      <c r="AX15" s="100">
        <f t="shared" si="14"/>
        <v>4</v>
      </c>
      <c r="AY15" s="100">
        <f t="shared" si="14"/>
        <v>4</v>
      </c>
      <c r="AZ15" s="100">
        <f t="shared" si="14"/>
        <v>4</v>
      </c>
      <c r="BA15" s="100">
        <f t="shared" si="14"/>
        <v>4</v>
      </c>
      <c r="BB15" s="100">
        <f t="shared" si="14"/>
        <v>4</v>
      </c>
      <c r="BC15" s="100">
        <f t="shared" si="14"/>
        <v>4</v>
      </c>
      <c r="BD15" s="100">
        <f t="shared" si="14"/>
        <v>4</v>
      </c>
      <c r="BE15" s="100">
        <f t="shared" si="14"/>
        <v>4</v>
      </c>
      <c r="BF15" s="100">
        <f t="shared" si="14"/>
        <v>4</v>
      </c>
      <c r="BG15" s="100">
        <f t="shared" si="14"/>
        <v>4</v>
      </c>
      <c r="BH15" s="100">
        <f t="shared" si="14"/>
        <v>5</v>
      </c>
      <c r="BI15" s="100">
        <f t="shared" si="14"/>
        <v>5</v>
      </c>
      <c r="BJ15" s="100">
        <f t="shared" si="14"/>
        <v>5</v>
      </c>
      <c r="BK15" s="100">
        <f t="shared" si="14"/>
        <v>5</v>
      </c>
      <c r="BL15" s="100">
        <f t="shared" si="14"/>
        <v>5</v>
      </c>
      <c r="BM15" s="100">
        <f t="shared" si="14"/>
        <v>5</v>
      </c>
      <c r="BN15" s="100">
        <f t="shared" si="14"/>
        <v>5</v>
      </c>
      <c r="BO15" s="100">
        <f t="shared" si="14"/>
        <v>5</v>
      </c>
      <c r="BP15" s="100">
        <f t="shared" si="14"/>
        <v>5</v>
      </c>
      <c r="BQ15" s="100">
        <f t="shared" si="14"/>
        <v>5</v>
      </c>
      <c r="BR15" s="100">
        <f t="shared" si="14"/>
        <v>5</v>
      </c>
      <c r="BS15" s="100">
        <f t="shared" si="14"/>
        <v>5</v>
      </c>
      <c r="BT15" s="20"/>
    </row>
    <row r="16">
      <c r="A16" s="241"/>
      <c r="B16" s="242"/>
      <c r="C16" s="241"/>
      <c r="D16" s="241"/>
      <c r="E16" s="241"/>
      <c r="F16" s="241"/>
      <c r="G16" s="241"/>
      <c r="H16" s="241"/>
      <c r="I16" s="241"/>
      <c r="J16" s="241"/>
      <c r="K16" s="241"/>
      <c r="L16" s="241"/>
      <c r="M16" s="241"/>
      <c r="N16" s="241"/>
      <c r="O16" s="241"/>
      <c r="P16" s="241"/>
      <c r="Q16" s="241"/>
      <c r="R16" s="241"/>
      <c r="S16" s="241"/>
      <c r="T16" s="241"/>
      <c r="U16" s="241"/>
      <c r="V16" s="241"/>
      <c r="W16" s="241"/>
      <c r="X16" s="241"/>
      <c r="Y16" s="241"/>
      <c r="Z16" s="241"/>
      <c r="AA16" s="241"/>
      <c r="AB16" s="241"/>
      <c r="AC16" s="241"/>
      <c r="AD16" s="241"/>
      <c r="AE16" s="241"/>
      <c r="AF16" s="241"/>
      <c r="AG16" s="241"/>
      <c r="AH16" s="241"/>
      <c r="AI16" s="241"/>
      <c r="AJ16" s="241"/>
      <c r="AK16" s="241"/>
      <c r="AL16" s="241"/>
      <c r="AM16" s="241"/>
      <c r="AN16" s="241"/>
      <c r="AO16" s="241"/>
      <c r="AP16" s="241"/>
      <c r="AQ16" s="241"/>
      <c r="AR16" s="241"/>
      <c r="AS16" s="241"/>
      <c r="AT16" s="241"/>
      <c r="AU16" s="241"/>
      <c r="AV16" s="241"/>
      <c r="AW16" s="241"/>
      <c r="AX16" s="241"/>
      <c r="AY16" s="241"/>
      <c r="AZ16" s="241"/>
      <c r="BA16" s="241"/>
      <c r="BB16" s="241"/>
      <c r="BC16" s="241"/>
      <c r="BD16" s="241"/>
      <c r="BE16" s="241"/>
      <c r="BF16" s="241"/>
      <c r="BG16" s="241"/>
      <c r="BH16" s="241"/>
      <c r="BI16" s="241"/>
      <c r="BJ16" s="241"/>
      <c r="BK16" s="241"/>
      <c r="BL16" s="241"/>
      <c r="BM16" s="241"/>
      <c r="BN16" s="241"/>
      <c r="BO16" s="241"/>
      <c r="BP16" s="241"/>
      <c r="BQ16" s="241"/>
      <c r="BR16" s="241"/>
      <c r="BS16" s="241"/>
      <c r="BT16" s="241"/>
    </row>
    <row r="17">
      <c r="A17" s="241"/>
      <c r="B17" s="243" t="s">
        <v>53</v>
      </c>
      <c r="C17" s="244"/>
      <c r="D17" s="244"/>
      <c r="E17" s="244"/>
      <c r="F17" s="244"/>
      <c r="G17" s="244"/>
      <c r="H17" s="244"/>
      <c r="I17" s="244"/>
      <c r="J17" s="244"/>
      <c r="K17" s="244"/>
      <c r="L17" s="244"/>
      <c r="M17" s="244"/>
      <c r="N17" s="244"/>
      <c r="O17" s="244"/>
      <c r="P17" s="244"/>
      <c r="Q17" s="244"/>
      <c r="R17" s="244"/>
      <c r="S17" s="244"/>
      <c r="T17" s="244"/>
      <c r="U17" s="244"/>
      <c r="V17" s="244"/>
      <c r="W17" s="244"/>
      <c r="X17" s="244"/>
      <c r="Y17" s="244"/>
      <c r="Z17" s="244"/>
      <c r="AA17" s="244"/>
      <c r="AB17" s="244"/>
      <c r="AC17" s="244"/>
      <c r="AD17" s="244"/>
      <c r="AE17" s="244"/>
      <c r="AF17" s="244"/>
      <c r="AG17" s="244"/>
      <c r="AH17" s="244"/>
      <c r="AI17" s="244"/>
      <c r="AJ17" s="244"/>
      <c r="AK17" s="244"/>
      <c r="AL17" s="244"/>
      <c r="AM17" s="244"/>
      <c r="AN17" s="244"/>
      <c r="AO17" s="244"/>
      <c r="AP17" s="244"/>
      <c r="AQ17" s="244"/>
      <c r="AR17" s="244"/>
      <c r="AS17" s="244"/>
      <c r="AT17" s="244"/>
      <c r="AU17" s="244"/>
      <c r="AV17" s="244"/>
      <c r="AW17" s="244"/>
      <c r="AX17" s="244"/>
      <c r="AY17" s="244"/>
      <c r="AZ17" s="244"/>
      <c r="BA17" s="244"/>
      <c r="BB17" s="244"/>
      <c r="BC17" s="244"/>
      <c r="BD17" s="244"/>
      <c r="BE17" s="244"/>
      <c r="BF17" s="244"/>
      <c r="BG17" s="244"/>
      <c r="BH17" s="244"/>
      <c r="BI17" s="244"/>
      <c r="BJ17" s="244"/>
      <c r="BK17" s="244"/>
      <c r="BL17" s="244"/>
      <c r="BM17" s="244"/>
      <c r="BN17" s="244"/>
      <c r="BO17" s="244"/>
      <c r="BP17" s="244"/>
      <c r="BQ17" s="244"/>
      <c r="BR17" s="244"/>
      <c r="BS17" s="244"/>
      <c r="BT17" s="241"/>
    </row>
    <row r="18">
      <c r="A18" s="241"/>
      <c r="B18" s="245" t="s">
        <v>54</v>
      </c>
      <c r="C18" s="246"/>
      <c r="D18" s="246"/>
      <c r="E18" s="247" t="s">
        <v>33</v>
      </c>
      <c r="F18" s="248">
        <f t="array" ref="F18">INDEX($L18:$BS18,MATCH(F$7,L$7:BG$7,0))</f>
        <v>500</v>
      </c>
      <c r="G18" s="248">
        <f t="shared" ref="G18:J18" si="15">INDEX($L18:$BG18,MATCH(G$7,M$7:BT$7,0))</f>
        <v>638</v>
      </c>
      <c r="H18" s="248">
        <f t="shared" si="15"/>
        <v>766.1399745</v>
      </c>
      <c r="I18" s="248">
        <f t="shared" si="15"/>
        <v>912.9199911</v>
      </c>
      <c r="J18" s="248">
        <f t="shared" si="15"/>
        <v>1062.021745</v>
      </c>
      <c r="K18" s="241"/>
      <c r="L18" s="249">
        <f>IF(L$13=1,Actuals!N29,K21)</f>
        <v>500</v>
      </c>
      <c r="M18" s="249">
        <f>IF(M$13=1,Actuals!O29,L21)</f>
        <v>509</v>
      </c>
      <c r="N18" s="249">
        <f>IF(N$13=1,Actuals!P29,M21)</f>
        <v>519</v>
      </c>
      <c r="O18" s="249">
        <f>IF(O$13=1,Actuals!Q29,N21)</f>
        <v>531</v>
      </c>
      <c r="P18" s="249">
        <f>IF(P$13=1,Actuals!R29,O21)</f>
        <v>543</v>
      </c>
      <c r="Q18" s="249">
        <f>IF(Q$13=1,Actuals!S29,P21)</f>
        <v>556</v>
      </c>
      <c r="R18" s="249">
        <f>IF(R$13=1,Actuals!T29,Q21)</f>
        <v>576</v>
      </c>
      <c r="S18" s="249">
        <f>IF(S$13=1,Actuals!U29,R21)</f>
        <v>595</v>
      </c>
      <c r="T18" s="249">
        <f>IF(T$13=1,Actuals!V29,S21)</f>
        <v>606</v>
      </c>
      <c r="U18" s="249">
        <f>IF(U$13=1,Actuals!W29,T21)</f>
        <v>615</v>
      </c>
      <c r="V18" s="249">
        <f>IF(V$13=1,Actuals!X29,U21)</f>
        <v>629</v>
      </c>
      <c r="W18" s="249">
        <f>IF(W$13=1,Actuals!Y29,V21)</f>
        <v>638</v>
      </c>
      <c r="X18" s="249">
        <f>IF(X$13=1,Actuals!Z29,W21)</f>
        <v>648</v>
      </c>
      <c r="Y18" s="249">
        <f>IF(Y$13=1,Actuals!AA29,X21)</f>
        <v>658</v>
      </c>
      <c r="Z18" s="249">
        <f>IF(Z$13=1,Actuals!AB29,Y21)</f>
        <v>672</v>
      </c>
      <c r="AA18" s="249">
        <f>IF(AA$13=1,Actuals!AC29,Z21)</f>
        <v>676</v>
      </c>
      <c r="AB18" s="249">
        <f>IF(AB$13=1,Actuals!AD29,AA21)</f>
        <v>687</v>
      </c>
      <c r="AC18" s="249">
        <f>IF(AC$13=1,Actuals!AE29,AB21)</f>
        <v>704</v>
      </c>
      <c r="AD18" s="249">
        <f>IF(AD$13=1,Actuals!AF29,AC21)</f>
        <v>716</v>
      </c>
      <c r="AE18" s="249">
        <f>IF(AE$13=1,Actuals!AG29,AD21)</f>
        <v>727.4851852</v>
      </c>
      <c r="AF18" s="249">
        <f>IF(AF$13=1,Actuals!AH29,AE21)</f>
        <v>740.1531648</v>
      </c>
      <c r="AG18" s="249">
        <f>IF(AG$13=1,Actuals!AI29,AF21)</f>
        <v>753.7956986</v>
      </c>
      <c r="AH18" s="249">
        <f>IF(AH$13=1,Actuals!AJ29,AG21)</f>
        <v>766.1399745</v>
      </c>
      <c r="AI18" s="249">
        <f>IF(AI$13=1,Actuals!AK29,AH21)</f>
        <v>780.1417893</v>
      </c>
      <c r="AJ18" s="249">
        <f>IF(AJ$13=1,Actuals!AL29,AI21)</f>
        <v>794.6457452</v>
      </c>
      <c r="AK18" s="249">
        <f>IF(AK$13=1,Actuals!AM29,AJ21)</f>
        <v>807.0514219</v>
      </c>
      <c r="AL18" s="249">
        <f>IF(AL$13=1,Actuals!AN29,AK21)</f>
        <v>820.2886949</v>
      </c>
      <c r="AM18" s="249">
        <f>IF(AM$13=1,Actuals!AO29,AL21)</f>
        <v>835.6764621</v>
      </c>
      <c r="AN18" s="249">
        <f>IF(AN$13=1,Actuals!AP29,AM21)</f>
        <v>848.7311869</v>
      </c>
      <c r="AO18" s="249">
        <f>IF(AO$13=1,Actuals!AQ29,AN21)</f>
        <v>859.9483833</v>
      </c>
      <c r="AP18" s="249">
        <f>IF(AP$13=1,Actuals!AR29,AO21)</f>
        <v>872.4087008</v>
      </c>
      <c r="AQ18" s="249">
        <f>IF(AQ$13=1,Actuals!AS29,AP21)</f>
        <v>885.9134949</v>
      </c>
      <c r="AR18" s="249">
        <f>IF(AR$13=1,Actuals!AT29,AQ21)</f>
        <v>899.394864</v>
      </c>
      <c r="AS18" s="249">
        <f>IF(AS$13=1,Actuals!AU29,AR21)</f>
        <v>912.9199911</v>
      </c>
      <c r="AT18" s="249">
        <f>IF(AT$13=1,Actuals!AV29,AS21)</f>
        <v>926.4865479</v>
      </c>
      <c r="AU18" s="249">
        <f>IF(AU$13=1,Actuals!AW29,AT21)</f>
        <v>940.0255576</v>
      </c>
      <c r="AV18" s="249">
        <f>IF(AV$13=1,Actuals!AX29,AU21)</f>
        <v>953.6231175</v>
      </c>
      <c r="AW18" s="249">
        <f>IF(AW$13=1,Actuals!AY29,AV21)</f>
        <v>967.2165544</v>
      </c>
      <c r="AX18" s="249">
        <f>IF(AX$13=1,Actuals!AZ29,AW21)</f>
        <v>980.7621485</v>
      </c>
      <c r="AY18" s="249">
        <f>IF(AY$13=1,Actuals!BA29,AX21)</f>
        <v>994.2885797</v>
      </c>
      <c r="AZ18" s="249">
        <f>IF(AZ$13=1,Actuals!BB29,AY21)</f>
        <v>1007.82368</v>
      </c>
      <c r="BA18" s="249">
        <f>IF(BA$13=1,Actuals!BC29,AZ21)</f>
        <v>1021.347051</v>
      </c>
      <c r="BB18" s="249">
        <f>IF(BB$13=1,Actuals!BD29,BA21)</f>
        <v>1034.888976</v>
      </c>
      <c r="BC18" s="249">
        <f>IF(BC$13=1,Actuals!BE29,BB21)</f>
        <v>1048.453314</v>
      </c>
      <c r="BD18" s="249">
        <f>IF(BD$13=1,Actuals!BF29,BC21)</f>
        <v>1062.021745</v>
      </c>
      <c r="BE18" s="249">
        <f>IF(BE$13=1,Actuals!BG29,BD21)</f>
        <v>1075.582152</v>
      </c>
      <c r="BF18" s="249">
        <f>IF(BF$13=1,Actuals!BH29,BE21)</f>
        <v>1089.141776</v>
      </c>
      <c r="BG18" s="249">
        <f>IF(BG$13=1,Actuals!BI29,BF21)</f>
        <v>1102.686563</v>
      </c>
      <c r="BH18" s="249">
        <f>IF(BH$13=1,Actuals!BJ29,BG21)</f>
        <v>1116.221047</v>
      </c>
      <c r="BI18" s="249">
        <f>IF(BI$13=1,Actuals!BW29,BH21)</f>
        <v>1129.75928</v>
      </c>
      <c r="BJ18" s="249">
        <f>IF(BJ$13=1,Actuals!BX29,BI21)</f>
        <v>1143.305913</v>
      </c>
      <c r="BK18" s="249">
        <f>IF(BK$13=1,Actuals!BY29,BJ21)</f>
        <v>1156.857608</v>
      </c>
      <c r="BL18" s="249">
        <f>IF(BL$13=1,Actuals!BZ29,BK21)</f>
        <v>1170.416553</v>
      </c>
      <c r="BM18" s="249">
        <f>IF(BM$13=1,Actuals!CA29,BL21)</f>
        <v>1183.97607</v>
      </c>
      <c r="BN18" s="249">
        <f>IF(BN$13=1,Actuals!CB29,BM21)</f>
        <v>1197.529617</v>
      </c>
      <c r="BO18" s="249">
        <f>IF(BO$13=1,Actuals!CC29,BN21)</f>
        <v>1211.077124</v>
      </c>
      <c r="BP18" s="249">
        <f>IF(BP$13=1,Actuals!CD29,BO21)</f>
        <v>1224.621876</v>
      </c>
      <c r="BQ18" s="249">
        <f>IF(BQ$13=1,Actuals!CE29,BP21)</f>
        <v>1238.165042</v>
      </c>
      <c r="BR18" s="249">
        <f>IF(BR$13=1,Actuals!CF29,BQ21)</f>
        <v>1251.71104</v>
      </c>
      <c r="BS18" s="249">
        <f>IF(BS$13=1,Actuals!CG29,BR21)</f>
        <v>1265.262045</v>
      </c>
      <c r="BT18" s="241"/>
    </row>
    <row r="19">
      <c r="A19" s="241"/>
      <c r="B19" s="250" t="s">
        <v>55</v>
      </c>
      <c r="C19" s="251"/>
      <c r="D19" s="251"/>
      <c r="E19" s="252" t="s">
        <v>33</v>
      </c>
      <c r="F19" s="248">
        <f t="shared" ref="F19:J19" si="16">SUMIFS($L19:$BS19,$L$15:$BS$15,F$15)</f>
        <v>248</v>
      </c>
      <c r="G19" s="248">
        <f t="shared" si="16"/>
        <v>240</v>
      </c>
      <c r="H19" s="248">
        <f t="shared" si="16"/>
        <v>228</v>
      </c>
      <c r="I19" s="248">
        <f t="shared" si="16"/>
        <v>228</v>
      </c>
      <c r="J19" s="248">
        <f t="shared" si="16"/>
        <v>228</v>
      </c>
      <c r="K19" s="241"/>
      <c r="L19" s="248">
        <f>IF(L$13=1,Actuals!N30,L29)</f>
        <v>16</v>
      </c>
      <c r="M19" s="248">
        <f>IF(M$13=1,Actuals!O30,M29)</f>
        <v>21</v>
      </c>
      <c r="N19" s="248">
        <f>IF(N$13=1,Actuals!P30,N29)</f>
        <v>23</v>
      </c>
      <c r="O19" s="248">
        <f>IF(O$13=1,Actuals!Q30,O29)</f>
        <v>19</v>
      </c>
      <c r="P19" s="248">
        <f>IF(P$13=1,Actuals!R30,P29)</f>
        <v>18</v>
      </c>
      <c r="Q19" s="248">
        <f>IF(Q$13=1,Actuals!S30,Q29)</f>
        <v>28</v>
      </c>
      <c r="R19" s="248">
        <f>IF(R$13=1,Actuals!T30,R29)</f>
        <v>25</v>
      </c>
      <c r="S19" s="248">
        <f>IF(S$13=1,Actuals!U30,S29)</f>
        <v>23</v>
      </c>
      <c r="T19" s="248">
        <f>IF(T$13=1,Actuals!V30,T29)</f>
        <v>19</v>
      </c>
      <c r="U19" s="248">
        <f>IF(U$13=1,Actuals!W30,U29)</f>
        <v>23</v>
      </c>
      <c r="V19" s="248">
        <f>IF(V$13=1,Actuals!X30,V29)</f>
        <v>17</v>
      </c>
      <c r="W19" s="248">
        <f>IF(W$13=1,Actuals!Y30,W29)</f>
        <v>16</v>
      </c>
      <c r="X19" s="248">
        <f>IF(X$13=1,Actuals!Z30,X29)</f>
        <v>22</v>
      </c>
      <c r="Y19" s="248">
        <f>IF(Y$13=1,Actuals!AA30,Y29)</f>
        <v>20</v>
      </c>
      <c r="Z19" s="248">
        <f>IF(Z$13=1,Actuals!AB30,Z29)</f>
        <v>13</v>
      </c>
      <c r="AA19" s="248">
        <f>IF(AA$13=1,Actuals!AC30,AA29)</f>
        <v>21</v>
      </c>
      <c r="AB19" s="248">
        <f>IF(AB$13=1,Actuals!AD30,AB29)</f>
        <v>27</v>
      </c>
      <c r="AC19" s="248">
        <f>IF(AC$13=1,Actuals!AE30,AC29)</f>
        <v>23</v>
      </c>
      <c r="AD19" s="248">
        <f>IF(AD$13=1,Actuals!AF30,AD29)</f>
        <v>19</v>
      </c>
      <c r="AE19" s="248">
        <f>IF(AE$13=1,Actuals!AG30,AE29)</f>
        <v>19</v>
      </c>
      <c r="AF19" s="248">
        <f>IF(AF$13=1,Actuals!AH30,AF29)</f>
        <v>19</v>
      </c>
      <c r="AG19" s="248">
        <f>IF(AG$13=1,Actuals!AI30,AG29)</f>
        <v>19</v>
      </c>
      <c r="AH19" s="248">
        <f>IF(AH$13=1,Actuals!AJ30,AH29)</f>
        <v>19</v>
      </c>
      <c r="AI19" s="248">
        <f>IF(AI$13=1,Actuals!AK30,AI29)</f>
        <v>19</v>
      </c>
      <c r="AJ19" s="248">
        <f>IF(AJ$13=1,Actuals!AL30,AJ29)</f>
        <v>19</v>
      </c>
      <c r="AK19" s="248">
        <f>IF(AK$13=1,Actuals!AM30,AK29)</f>
        <v>19</v>
      </c>
      <c r="AL19" s="248">
        <f>IF(AL$13=1,Actuals!AN30,AL29)</f>
        <v>19</v>
      </c>
      <c r="AM19" s="248">
        <f>IF(AM$13=1,Actuals!AO30,AM29)</f>
        <v>19</v>
      </c>
      <c r="AN19" s="248">
        <f>IF(AN$13=1,Actuals!AP30,AN29)</f>
        <v>19</v>
      </c>
      <c r="AO19" s="248">
        <f>IF(AO$13=1,Actuals!AQ30,AO29)</f>
        <v>19</v>
      </c>
      <c r="AP19" s="248">
        <f>IF(AP$13=1,Actuals!AR30,AP29)</f>
        <v>19</v>
      </c>
      <c r="AQ19" s="248">
        <f>IF(AQ$13=1,Actuals!AS30,AQ29)</f>
        <v>19</v>
      </c>
      <c r="AR19" s="248">
        <f>IF(AR$13=1,Actuals!AT30,AR29)</f>
        <v>19</v>
      </c>
      <c r="AS19" s="248">
        <f>IF(AS$13=1,Actuals!AU30,AS29)</f>
        <v>19</v>
      </c>
      <c r="AT19" s="248">
        <f>IF(AT$13=1,Actuals!AV30,AT29)</f>
        <v>19</v>
      </c>
      <c r="AU19" s="248">
        <f>IF(AU$13=1,Actuals!AW30,AU29)</f>
        <v>19</v>
      </c>
      <c r="AV19" s="248">
        <f>IF(AV$13=1,Actuals!AX30,AV29)</f>
        <v>19</v>
      </c>
      <c r="AW19" s="248">
        <f>IF(AW$13=1,Actuals!AY30,AW29)</f>
        <v>19</v>
      </c>
      <c r="AX19" s="248">
        <f>IF(AX$13=1,Actuals!AZ30,AX29)</f>
        <v>19</v>
      </c>
      <c r="AY19" s="248">
        <f>IF(AY$13=1,Actuals!BA30,AY29)</f>
        <v>19</v>
      </c>
      <c r="AZ19" s="248">
        <f>IF(AZ$13=1,Actuals!BB30,AZ29)</f>
        <v>19</v>
      </c>
      <c r="BA19" s="248">
        <f>IF(BA$13=1,Actuals!BC30,BA29)</f>
        <v>19</v>
      </c>
      <c r="BB19" s="248">
        <f>IF(BB$13=1,Actuals!BD30,BB29)</f>
        <v>19</v>
      </c>
      <c r="BC19" s="248">
        <f>IF(BC$13=1,Actuals!BE30,BC29)</f>
        <v>19</v>
      </c>
      <c r="BD19" s="248">
        <f>IF(BD$13=1,Actuals!BF30,BD29)</f>
        <v>19</v>
      </c>
      <c r="BE19" s="248">
        <f>IF(BE$13=1,Actuals!BG30,BE29)</f>
        <v>19</v>
      </c>
      <c r="BF19" s="248">
        <f>IF(BF$13=1,Actuals!BH30,BF29)</f>
        <v>19</v>
      </c>
      <c r="BG19" s="248">
        <f>IF(BG$13=1,Actuals!BI30,BG29)</f>
        <v>19</v>
      </c>
      <c r="BH19" s="248">
        <f>IF(BH$13=1,Actuals!BJ30,BH29)</f>
        <v>19</v>
      </c>
      <c r="BI19" s="248">
        <f>IF(BI$13=1,Actuals!BW30,BI29)</f>
        <v>19</v>
      </c>
      <c r="BJ19" s="248">
        <f>IF(BJ$13=1,Actuals!BX30,BJ29)</f>
        <v>19</v>
      </c>
      <c r="BK19" s="248">
        <f>IF(BK$13=1,Actuals!BY30,BK29)</f>
        <v>19</v>
      </c>
      <c r="BL19" s="248">
        <f>IF(BL$13=1,Actuals!BZ30,BL29)</f>
        <v>19</v>
      </c>
      <c r="BM19" s="248">
        <f>IF(BM$13=1,Actuals!CA30,BM29)</f>
        <v>19</v>
      </c>
      <c r="BN19" s="248">
        <f>IF(BN$13=1,Actuals!CB30,BN29)</f>
        <v>19</v>
      </c>
      <c r="BO19" s="248">
        <f>IF(BO$13=1,Actuals!CC30,BO29)</f>
        <v>19</v>
      </c>
      <c r="BP19" s="248">
        <f>IF(BP$13=1,Actuals!CD30,BP29)</f>
        <v>19</v>
      </c>
      <c r="BQ19" s="248">
        <f>IF(BQ$13=1,Actuals!CE30,BQ29)</f>
        <v>19</v>
      </c>
      <c r="BR19" s="248">
        <f>IF(BR$13=1,Actuals!CF30,BR29)</f>
        <v>19</v>
      </c>
      <c r="BS19" s="248">
        <f>IF(BS$13=1,Actuals!CG30,BS29)</f>
        <v>19</v>
      </c>
      <c r="BT19" s="241"/>
    </row>
    <row r="20">
      <c r="A20" s="241"/>
      <c r="B20" s="253" t="s">
        <v>56</v>
      </c>
      <c r="E20" s="254" t="s">
        <v>33</v>
      </c>
      <c r="F20" s="255">
        <f t="shared" ref="F20:J20" si="17">SUMIFS($L20:$BS20,$L$15:$BS$15,F$15)</f>
        <v>-100</v>
      </c>
      <c r="G20" s="255">
        <f t="shared" si="17"/>
        <v>-93.35425481</v>
      </c>
      <c r="H20" s="255">
        <f t="shared" si="17"/>
        <v>-69.02262768</v>
      </c>
      <c r="I20" s="255">
        <f t="shared" si="17"/>
        <v>-65.40207043</v>
      </c>
      <c r="J20" s="255">
        <f t="shared" si="17"/>
        <v>-65.40493496</v>
      </c>
      <c r="K20" s="241"/>
      <c r="L20" s="256">
        <f>IF(L$13=1,Actuals!N31,-L37*L38)</f>
        <v>-7</v>
      </c>
      <c r="M20" s="256">
        <f>IF(M$13=1,Actuals!O31,-M37*M38)</f>
        <v>-11</v>
      </c>
      <c r="N20" s="256">
        <f>IF(N$13=1,Actuals!P31,-N37*N38)</f>
        <v>-11</v>
      </c>
      <c r="O20" s="256">
        <f>IF(O$13=1,Actuals!Q31,-O37*O38)</f>
        <v>-7</v>
      </c>
      <c r="P20" s="256">
        <f>IF(P$13=1,Actuals!R31,-P37*P38)</f>
        <v>-5</v>
      </c>
      <c r="Q20" s="256">
        <f>IF(Q$13=1,Actuals!S31,-Q37*Q38)</f>
        <v>-8</v>
      </c>
      <c r="R20" s="256">
        <f>IF(R$13=1,Actuals!T31,-R37*R38)</f>
        <v>-6</v>
      </c>
      <c r="S20" s="256">
        <f>IF(S$13=1,Actuals!U31,-S37*S38)</f>
        <v>-12</v>
      </c>
      <c r="T20" s="256">
        <f>IF(T$13=1,Actuals!V31,-T37*T38)</f>
        <v>-10</v>
      </c>
      <c r="U20" s="256">
        <f>IF(U$13=1,Actuals!W31,-U37*U38)</f>
        <v>-9</v>
      </c>
      <c r="V20" s="256">
        <f>IF(V$13=1,Actuals!X31,-V37*V38)</f>
        <v>-8</v>
      </c>
      <c r="W20" s="256">
        <f>IF(W$13=1,Actuals!Y31,-W37*W38)</f>
        <v>-6</v>
      </c>
      <c r="X20" s="256">
        <f>IF(X$13=1,Actuals!Z31,-X37*X38)</f>
        <v>-12</v>
      </c>
      <c r="Y20" s="256">
        <f>IF(Y$13=1,Actuals!AA31,-Y37*Y38)</f>
        <v>-6</v>
      </c>
      <c r="Z20" s="256">
        <f>IF(Z$13=1,Actuals!AB31,-Z37*Z38)</f>
        <v>-9</v>
      </c>
      <c r="AA20" s="256">
        <f>IF(AA$13=1,Actuals!AC31,-AA37*AA38)</f>
        <v>-10</v>
      </c>
      <c r="AB20" s="256">
        <f>IF(AB$13=1,Actuals!AD31,-AB37*AB38)</f>
        <v>-10</v>
      </c>
      <c r="AC20" s="256">
        <f>IF(AC$13=1,Actuals!AE31,-AC37*AC38)</f>
        <v>-11</v>
      </c>
      <c r="AD20" s="256">
        <f>IF(AD$13=1,Actuals!AF31,-AD37*AD38)</f>
        <v>-7.514814815</v>
      </c>
      <c r="AE20" s="256">
        <f>IF(AE$13=1,Actuals!AG31,-AE37*AE38)</f>
        <v>-6.332020434</v>
      </c>
      <c r="AF20" s="256">
        <f>IF(AF$13=1,Actuals!AH31,-AF37*AF38)</f>
        <v>-5.357466156</v>
      </c>
      <c r="AG20" s="256">
        <f>IF(AG$13=1,Actuals!AI31,-AG37*AG38)</f>
        <v>-6.655724138</v>
      </c>
      <c r="AH20" s="256">
        <f>IF(AH$13=1,Actuals!AJ31,-AH37*AH38)</f>
        <v>-4.998185118</v>
      </c>
      <c r="AI20" s="256">
        <f>IF(AI$13=1,Actuals!AK31,-AI37*AI38)</f>
        <v>-4.496044147</v>
      </c>
      <c r="AJ20" s="256">
        <f>IF(AJ$13=1,Actuals!AL31,-AJ37*AJ38)</f>
        <v>-6.594323282</v>
      </c>
      <c r="AK20" s="256">
        <f>IF(AK$13=1,Actuals!AM31,-AK37*AK38)</f>
        <v>-5.762726959</v>
      </c>
      <c r="AL20" s="256">
        <f>IF(AL$13=1,Actuals!AN31,-AL37*AL38)</f>
        <v>-3.612232805</v>
      </c>
      <c r="AM20" s="256">
        <f>IF(AM$13=1,Actuals!AO31,-AM37*AM38)</f>
        <v>-5.945275245</v>
      </c>
      <c r="AN20" s="256">
        <f>IF(AN$13=1,Actuals!AP31,-AN37*AN38)</f>
        <v>-7.78280363</v>
      </c>
      <c r="AO20" s="256">
        <f>IF(AO$13=1,Actuals!AQ31,-AO37*AO38)</f>
        <v>-6.539682451</v>
      </c>
      <c r="AP20" s="256">
        <f>IF(AP$13=1,Actuals!AR31,-AP37*AP38)</f>
        <v>-5.495205951</v>
      </c>
      <c r="AQ20" s="256">
        <f>IF(AQ$13=1,Actuals!AS31,-AQ37*AQ38)</f>
        <v>-5.518630842</v>
      </c>
      <c r="AR20" s="256">
        <f>IF(AR$13=1,Actuals!AT31,-AR37*AR38)</f>
        <v>-5.474872898</v>
      </c>
      <c r="AS20" s="256">
        <f>IF(AS$13=1,Actuals!AU31,-AS37*AS38)</f>
        <v>-5.43344323</v>
      </c>
      <c r="AT20" s="256">
        <f>IF(AT$13=1,Actuals!AV31,-AT37*AT38)</f>
        <v>-5.460990292</v>
      </c>
      <c r="AU20" s="256">
        <f>IF(AU$13=1,Actuals!AW31,-AU37*AU38)</f>
        <v>-5.402440091</v>
      </c>
      <c r="AV20" s="256">
        <f>IF(AV$13=1,Actuals!AX31,-AV37*AV38)</f>
        <v>-5.406563159</v>
      </c>
      <c r="AW20" s="256">
        <f>IF(AW$13=1,Actuals!AY31,-AW37*AW38)</f>
        <v>-5.454405892</v>
      </c>
      <c r="AX20" s="256">
        <f>IF(AX$13=1,Actuals!AZ31,-AX37*AX38)</f>
        <v>-5.473568761</v>
      </c>
      <c r="AY20" s="256">
        <f>IF(AY$13=1,Actuals!BA31,-AY37*AY38)</f>
        <v>-5.464899859</v>
      </c>
      <c r="AZ20" s="256">
        <f>IF(AZ$13=1,Actuals!BB31,-AZ37*AZ38)</f>
        <v>-5.476628643</v>
      </c>
      <c r="BA20" s="256">
        <f>IF(BA$13=1,Actuals!BC31,-BA37*BA38)</f>
        <v>-5.458075471</v>
      </c>
      <c r="BB20" s="256">
        <f>IF(BB$13=1,Actuals!BD31,-BB37*BB38)</f>
        <v>-5.435661934</v>
      </c>
      <c r="BC20" s="256">
        <f>IF(BC$13=1,Actuals!BE31,-BC37*BC38)</f>
        <v>-5.431568533</v>
      </c>
      <c r="BD20" s="256">
        <f>IF(BD$13=1,Actuals!BF31,-BD37*BD38)</f>
        <v>-5.439593639</v>
      </c>
      <c r="BE20" s="256">
        <f>IF(BE$13=1,Actuals!BG31,-BE37*BE38)</f>
        <v>-5.440375552</v>
      </c>
      <c r="BF20" s="256">
        <f>IF(BF$13=1,Actuals!BH31,-BF37*BF38)</f>
        <v>-5.455213263</v>
      </c>
      <c r="BG20" s="256">
        <f>IF(BG$13=1,Actuals!BI31,-BG37*BG38)</f>
        <v>-5.465515725</v>
      </c>
      <c r="BH20" s="256">
        <f>IF(BH$13=1,Actuals!BJ31,-BH37*BH38)</f>
        <v>-5.461766933</v>
      </c>
      <c r="BI20" s="256">
        <f>IF(BI$13=1,Actuals!BK31,-BI37*BI38)</f>
        <v>-5.453366888</v>
      </c>
      <c r="BJ20" s="256">
        <f>IF(BJ$13=1,Actuals!BL31,-BJ37*BJ38)</f>
        <v>-5.448305644</v>
      </c>
      <c r="BK20" s="256">
        <f>IF(BK$13=1,Actuals!BM31,-BK37*BK38)</f>
        <v>-5.441055026</v>
      </c>
      <c r="BL20" s="256">
        <f>IF(BL$13=1,Actuals!BN31,-BL37*BL38)</f>
        <v>-5.440482584</v>
      </c>
      <c r="BM20" s="256">
        <f>IF(BM$13=1,Actuals!BO31,-BM37*BM38)</f>
        <v>-5.446453342</v>
      </c>
      <c r="BN20" s="256">
        <f>IF(BN$13=1,Actuals!BP31,-BN37*BN38)</f>
        <v>-5.452493022</v>
      </c>
      <c r="BO20" s="256">
        <f>IF(BO$13=1,Actuals!BQ31,-BO37*BO38)</f>
        <v>-5.455247672</v>
      </c>
      <c r="BP20" s="256">
        <f>IF(BP$13=1,Actuals!BR31,-BP37*BP38)</f>
        <v>-5.45683369</v>
      </c>
      <c r="BQ20" s="256">
        <f>IF(BQ$13=1,Actuals!BS31,-BQ37*BQ38)</f>
        <v>-5.454002043</v>
      </c>
      <c r="BR20" s="256">
        <f>IF(BR$13=1,Actuals!BT31,-BR37*BR38)</f>
        <v>-5.448995415</v>
      </c>
      <c r="BS20" s="256">
        <f>IF(BS$13=1,Actuals!BU31,-BS37*BS38)</f>
        <v>-5.445932697</v>
      </c>
      <c r="BT20" s="241"/>
    </row>
    <row r="21">
      <c r="A21" s="241"/>
      <c r="B21" s="257" t="s">
        <v>57</v>
      </c>
      <c r="C21" s="258"/>
      <c r="D21" s="258"/>
      <c r="E21" s="259" t="s">
        <v>33</v>
      </c>
      <c r="F21" s="260">
        <f t="shared" ref="F21:J21" si="18">INDEX($L21:$BS21,MATCH(F$8,L$8:BS$8,0))</f>
        <v>648</v>
      </c>
      <c r="G21" s="260">
        <f t="shared" si="18"/>
        <v>780.1417893</v>
      </c>
      <c r="H21" s="260">
        <f t="shared" si="18"/>
        <v>926.4865479</v>
      </c>
      <c r="I21" s="260">
        <f t="shared" si="18"/>
        <v>1075.582152</v>
      </c>
      <c r="J21" s="260">
        <f t="shared" si="18"/>
        <v>1224.621876</v>
      </c>
      <c r="K21" s="241"/>
      <c r="L21" s="261">
        <f>IF(L$13=1,Actuals!N32,SUM(L18:L20))</f>
        <v>509</v>
      </c>
      <c r="M21" s="261">
        <f>IF(M$13=1,Actuals!O32,SUM(M18:M20))</f>
        <v>519</v>
      </c>
      <c r="N21" s="261">
        <f>IF(N$13=1,Actuals!P32,SUM(N18:N20))</f>
        <v>531</v>
      </c>
      <c r="O21" s="261">
        <f>IF(O$13=1,Actuals!Q32,SUM(O18:O20))</f>
        <v>543</v>
      </c>
      <c r="P21" s="261">
        <f>IF(P$13=1,Actuals!R32,SUM(P18:P20))</f>
        <v>556</v>
      </c>
      <c r="Q21" s="261">
        <f>IF(Q$13=1,Actuals!S32,SUM(Q18:Q20))</f>
        <v>576</v>
      </c>
      <c r="R21" s="261">
        <f>IF(R$13=1,Actuals!T32,SUM(R18:R20))</f>
        <v>595</v>
      </c>
      <c r="S21" s="261">
        <f>IF(S$13=1,Actuals!U32,SUM(S18:S20))</f>
        <v>606</v>
      </c>
      <c r="T21" s="261">
        <f>IF(T$13=1,Actuals!V32,SUM(T18:T20))</f>
        <v>615</v>
      </c>
      <c r="U21" s="261">
        <f>IF(U$13=1,Actuals!W32,SUM(U18:U20))</f>
        <v>629</v>
      </c>
      <c r="V21" s="261">
        <f>IF(V$13=1,Actuals!X32,SUM(V18:V20))</f>
        <v>638</v>
      </c>
      <c r="W21" s="261">
        <f>IF(W$13=1,Actuals!Y32,SUM(W18:W20))</f>
        <v>648</v>
      </c>
      <c r="X21" s="261">
        <f>IF(X$13=1,Actuals!Z32,SUM(X18:X20))</f>
        <v>658</v>
      </c>
      <c r="Y21" s="261">
        <f>IF(Y$13=1,Actuals!AA32,SUM(Y18:Y20))</f>
        <v>672</v>
      </c>
      <c r="Z21" s="261">
        <f>IF(Z$13=1,Actuals!AB32,SUM(Z18:Z20))</f>
        <v>676</v>
      </c>
      <c r="AA21" s="261">
        <f>IF(AA$13=1,Actuals!AC32,SUM(AA18:AA20))</f>
        <v>687</v>
      </c>
      <c r="AB21" s="261">
        <f>IF(AB$13=1,Actuals!AD32,SUM(AB18:AB20))</f>
        <v>704</v>
      </c>
      <c r="AC21" s="261">
        <f>IF(AC$13=1,Actuals!AE32,SUM(AC18:AC20))</f>
        <v>716</v>
      </c>
      <c r="AD21" s="261">
        <f>IF(AD$13=1,Actuals!AF32,SUM(AD18:AD20))</f>
        <v>727.4851852</v>
      </c>
      <c r="AE21" s="261">
        <f>IF(AE$13=1,Actuals!AG32,SUM(AE18:AE20))</f>
        <v>740.1531648</v>
      </c>
      <c r="AF21" s="261">
        <f>IF(AF$13=1,Actuals!AH32,SUM(AF18:AF20))</f>
        <v>753.7956986</v>
      </c>
      <c r="AG21" s="261">
        <f>IF(AG$13=1,Actuals!AI32,SUM(AG18:AG20))</f>
        <v>766.1399745</v>
      </c>
      <c r="AH21" s="261">
        <f>IF(AH$13=1,Actuals!AJ32,SUM(AH18:AH20))</f>
        <v>780.1417893</v>
      </c>
      <c r="AI21" s="261">
        <f>IF(AI$13=1,Actuals!AK32,SUM(AI18:AI20))</f>
        <v>794.6457452</v>
      </c>
      <c r="AJ21" s="261">
        <f>IF(AJ$13=1,Actuals!AL32,SUM(AJ18:AJ20))</f>
        <v>807.0514219</v>
      </c>
      <c r="AK21" s="261">
        <f>IF(AK$13=1,Actuals!AM32,SUM(AK18:AK20))</f>
        <v>820.2886949</v>
      </c>
      <c r="AL21" s="261">
        <f>IF(AL$13=1,Actuals!AN32,SUM(AL18:AL20))</f>
        <v>835.6764621</v>
      </c>
      <c r="AM21" s="261">
        <f>IF(AM$13=1,Actuals!AO32,SUM(AM18:AM20))</f>
        <v>848.7311869</v>
      </c>
      <c r="AN21" s="261">
        <f>IF(AN$13=1,Actuals!AP32,SUM(AN18:AN20))</f>
        <v>859.9483833</v>
      </c>
      <c r="AO21" s="261">
        <f>IF(AO$13=1,Actuals!AQ32,SUM(AO18:AO20))</f>
        <v>872.4087008</v>
      </c>
      <c r="AP21" s="261">
        <f>IF(AP$13=1,Actuals!AR32,SUM(AP18:AP20))</f>
        <v>885.9134949</v>
      </c>
      <c r="AQ21" s="261">
        <f>IF(AQ$13=1,Actuals!AS32,SUM(AQ18:AQ20))</f>
        <v>899.394864</v>
      </c>
      <c r="AR21" s="261">
        <f>IF(AR$13=1,Actuals!AT32,SUM(AR18:AR20))</f>
        <v>912.9199911</v>
      </c>
      <c r="AS21" s="261">
        <f>IF(AS$13=1,Actuals!AU32,SUM(AS18:AS20))</f>
        <v>926.4865479</v>
      </c>
      <c r="AT21" s="261">
        <f>IF(AT$13=1,Actuals!AV32,SUM(AT18:AT20))</f>
        <v>940.0255576</v>
      </c>
      <c r="AU21" s="261">
        <f>IF(AU$13=1,Actuals!AW32,SUM(AU18:AU20))</f>
        <v>953.6231175</v>
      </c>
      <c r="AV21" s="261">
        <f>IF(AV$13=1,Actuals!AX32,SUM(AV18:AV20))</f>
        <v>967.2165544</v>
      </c>
      <c r="AW21" s="261">
        <f>IF(AW$13=1,Actuals!AY32,SUM(AW18:AW20))</f>
        <v>980.7621485</v>
      </c>
      <c r="AX21" s="261">
        <f>IF(AX$13=1,Actuals!AZ32,SUM(AX18:AX20))</f>
        <v>994.2885797</v>
      </c>
      <c r="AY21" s="261">
        <f>IF(AY$13=1,Actuals!BA32,SUM(AY18:AY20))</f>
        <v>1007.82368</v>
      </c>
      <c r="AZ21" s="261">
        <f>IF(AZ$13=1,Actuals!BB32,SUM(AZ18:AZ20))</f>
        <v>1021.347051</v>
      </c>
      <c r="BA21" s="261">
        <f>IF(BA$13=1,Actuals!BC32,SUM(BA18:BA20))</f>
        <v>1034.888976</v>
      </c>
      <c r="BB21" s="261">
        <f>IF(BB$13=1,Actuals!BD32,SUM(BB18:BB20))</f>
        <v>1048.453314</v>
      </c>
      <c r="BC21" s="261">
        <f>IF(BC$13=1,Actuals!BE32,SUM(BC18:BC20))</f>
        <v>1062.021745</v>
      </c>
      <c r="BD21" s="261">
        <f>IF(BD$13=1,Actuals!BF32,SUM(BD18:BD20))</f>
        <v>1075.582152</v>
      </c>
      <c r="BE21" s="261">
        <f>IF(BE$13=1,Actuals!BG32,SUM(BE18:BE20))</f>
        <v>1089.141776</v>
      </c>
      <c r="BF21" s="261">
        <f>IF(BF$13=1,Actuals!BH32,SUM(BF18:BF20))</f>
        <v>1102.686563</v>
      </c>
      <c r="BG21" s="261">
        <f>IF(BG$13=1,Actuals!BI32,SUM(BG18:BG20))</f>
        <v>1116.221047</v>
      </c>
      <c r="BH21" s="261">
        <f>IF(BH$13=1,Actuals!BJ32,SUM(BH18:BH20))</f>
        <v>1129.75928</v>
      </c>
      <c r="BI21" s="261">
        <f>IF(BI$13=1,Actuals!BW32,SUM(BI18:BI20))</f>
        <v>1143.305913</v>
      </c>
      <c r="BJ21" s="261">
        <f>IF(BJ$13=1,Actuals!BX32,SUM(BJ18:BJ20))</f>
        <v>1156.857608</v>
      </c>
      <c r="BK21" s="261">
        <f>IF(BK$13=1,Actuals!BY32,SUM(BK18:BK20))</f>
        <v>1170.416553</v>
      </c>
      <c r="BL21" s="261">
        <f>IF(BL$13=1,Actuals!BZ32,SUM(BL18:BL20))</f>
        <v>1183.97607</v>
      </c>
      <c r="BM21" s="261">
        <f>IF(BM$13=1,Actuals!CA32,SUM(BM18:BM20))</f>
        <v>1197.529617</v>
      </c>
      <c r="BN21" s="261">
        <f>IF(BN$13=1,Actuals!CB32,SUM(BN18:BN20))</f>
        <v>1211.077124</v>
      </c>
      <c r="BO21" s="261">
        <f>IF(BO$13=1,Actuals!CC32,SUM(BO18:BO20))</f>
        <v>1224.621876</v>
      </c>
      <c r="BP21" s="261">
        <f>IF(BP$13=1,Actuals!CD32,SUM(BP18:BP20))</f>
        <v>1238.165042</v>
      </c>
      <c r="BQ21" s="261">
        <f>IF(BQ$13=1,Actuals!CE32,SUM(BQ18:BQ20))</f>
        <v>1251.71104</v>
      </c>
      <c r="BR21" s="261">
        <f>IF(BR$13=1,Actuals!CF32,SUM(BR18:BR20))</f>
        <v>1265.262045</v>
      </c>
      <c r="BS21" s="261">
        <f>IF(BS$13=1,Actuals!CG32,SUM(BS18:BS20))</f>
        <v>1278.816112</v>
      </c>
      <c r="BT21" s="241"/>
    </row>
    <row r="22">
      <c r="A22" s="241"/>
      <c r="B22" s="262"/>
      <c r="E22" s="263"/>
      <c r="K22" s="241"/>
      <c r="L22" s="264"/>
      <c r="M22" s="264"/>
      <c r="N22" s="264"/>
      <c r="O22" s="264"/>
      <c r="P22" s="264"/>
      <c r="Q22" s="264"/>
      <c r="R22" s="264"/>
      <c r="S22" s="264"/>
      <c r="T22" s="264"/>
      <c r="U22" s="264"/>
      <c r="V22" s="264"/>
      <c r="W22" s="264"/>
      <c r="X22" s="264"/>
      <c r="Y22" s="264"/>
      <c r="Z22" s="264"/>
      <c r="AA22" s="264"/>
      <c r="AB22" s="264"/>
      <c r="AC22" s="264"/>
      <c r="AD22" s="264"/>
      <c r="AE22" s="264"/>
      <c r="AF22" s="264"/>
      <c r="AG22" s="264"/>
      <c r="AH22" s="264"/>
      <c r="AI22" s="264"/>
      <c r="AJ22" s="264"/>
      <c r="AK22" s="264"/>
      <c r="AL22" s="264"/>
      <c r="AM22" s="264"/>
      <c r="AN22" s="264"/>
      <c r="AO22" s="264"/>
      <c r="AP22" s="264"/>
      <c r="AQ22" s="264"/>
      <c r="AR22" s="264"/>
      <c r="AS22" s="264"/>
      <c r="AT22" s="264"/>
      <c r="AU22" s="264"/>
      <c r="AV22" s="264"/>
      <c r="AW22" s="264"/>
      <c r="AX22" s="264"/>
      <c r="AY22" s="264"/>
      <c r="AZ22" s="264"/>
      <c r="BA22" s="264"/>
      <c r="BB22" s="264"/>
      <c r="BC22" s="264"/>
      <c r="BD22" s="264"/>
      <c r="BE22" s="264"/>
      <c r="BF22" s="264"/>
      <c r="BG22" s="264"/>
      <c r="BH22" s="264"/>
      <c r="BI22" s="264"/>
      <c r="BJ22" s="264"/>
      <c r="BK22" s="264"/>
      <c r="BL22" s="264"/>
      <c r="BM22" s="264"/>
      <c r="BN22" s="264"/>
      <c r="BO22" s="264"/>
      <c r="BP22" s="264"/>
      <c r="BQ22" s="264"/>
      <c r="BR22" s="264"/>
      <c r="BS22" s="264"/>
      <c r="BT22" s="241"/>
    </row>
    <row r="23">
      <c r="A23" s="241"/>
      <c r="B23" s="265" t="s">
        <v>102</v>
      </c>
      <c r="C23" s="258"/>
      <c r="D23" s="258"/>
      <c r="E23" s="266" t="s">
        <v>33</v>
      </c>
      <c r="F23" s="267">
        <f t="shared" ref="F23:J23" si="19">F19+F20</f>
        <v>148</v>
      </c>
      <c r="G23" s="267">
        <f t="shared" si="19"/>
        <v>146.6457452</v>
      </c>
      <c r="H23" s="267">
        <f t="shared" si="19"/>
        <v>158.9773723</v>
      </c>
      <c r="I23" s="267">
        <f t="shared" si="19"/>
        <v>162.5979296</v>
      </c>
      <c r="J23" s="267">
        <f t="shared" si="19"/>
        <v>162.595065</v>
      </c>
      <c r="K23" s="268"/>
      <c r="L23" s="269">
        <f t="shared" ref="L23:BS23" si="20">L19+L20</f>
        <v>9</v>
      </c>
      <c r="M23" s="269">
        <f t="shared" si="20"/>
        <v>10</v>
      </c>
      <c r="N23" s="269">
        <f t="shared" si="20"/>
        <v>12</v>
      </c>
      <c r="O23" s="269">
        <f t="shared" si="20"/>
        <v>12</v>
      </c>
      <c r="P23" s="269">
        <f t="shared" si="20"/>
        <v>13</v>
      </c>
      <c r="Q23" s="269">
        <f t="shared" si="20"/>
        <v>20</v>
      </c>
      <c r="R23" s="269">
        <f t="shared" si="20"/>
        <v>19</v>
      </c>
      <c r="S23" s="269">
        <f t="shared" si="20"/>
        <v>11</v>
      </c>
      <c r="T23" s="269">
        <f t="shared" si="20"/>
        <v>9</v>
      </c>
      <c r="U23" s="269">
        <f t="shared" si="20"/>
        <v>14</v>
      </c>
      <c r="V23" s="269">
        <f t="shared" si="20"/>
        <v>9</v>
      </c>
      <c r="W23" s="269">
        <f t="shared" si="20"/>
        <v>10</v>
      </c>
      <c r="X23" s="269">
        <f t="shared" si="20"/>
        <v>10</v>
      </c>
      <c r="Y23" s="269">
        <f t="shared" si="20"/>
        <v>14</v>
      </c>
      <c r="Z23" s="269">
        <f t="shared" si="20"/>
        <v>4</v>
      </c>
      <c r="AA23" s="269">
        <f t="shared" si="20"/>
        <v>11</v>
      </c>
      <c r="AB23" s="269">
        <f t="shared" si="20"/>
        <v>17</v>
      </c>
      <c r="AC23" s="269">
        <f t="shared" si="20"/>
        <v>12</v>
      </c>
      <c r="AD23" s="269">
        <f t="shared" si="20"/>
        <v>11.48518519</v>
      </c>
      <c r="AE23" s="269">
        <f t="shared" si="20"/>
        <v>12.66797957</v>
      </c>
      <c r="AF23" s="269">
        <f t="shared" si="20"/>
        <v>13.64253384</v>
      </c>
      <c r="AG23" s="269">
        <f t="shared" si="20"/>
        <v>12.34427586</v>
      </c>
      <c r="AH23" s="269">
        <f t="shared" si="20"/>
        <v>14.00181488</v>
      </c>
      <c r="AI23" s="269">
        <f t="shared" si="20"/>
        <v>14.50395585</v>
      </c>
      <c r="AJ23" s="269">
        <f t="shared" si="20"/>
        <v>12.40567672</v>
      </c>
      <c r="AK23" s="269">
        <f t="shared" si="20"/>
        <v>13.23727304</v>
      </c>
      <c r="AL23" s="269">
        <f t="shared" si="20"/>
        <v>15.3877672</v>
      </c>
      <c r="AM23" s="269">
        <f t="shared" si="20"/>
        <v>13.05472475</v>
      </c>
      <c r="AN23" s="269">
        <f t="shared" si="20"/>
        <v>11.21719637</v>
      </c>
      <c r="AO23" s="269">
        <f t="shared" si="20"/>
        <v>12.46031755</v>
      </c>
      <c r="AP23" s="269">
        <f t="shared" si="20"/>
        <v>13.50479405</v>
      </c>
      <c r="AQ23" s="269">
        <f t="shared" si="20"/>
        <v>13.48136916</v>
      </c>
      <c r="AR23" s="269">
        <f t="shared" si="20"/>
        <v>13.5251271</v>
      </c>
      <c r="AS23" s="269">
        <f t="shared" si="20"/>
        <v>13.56655677</v>
      </c>
      <c r="AT23" s="269">
        <f t="shared" si="20"/>
        <v>13.53900971</v>
      </c>
      <c r="AU23" s="269">
        <f t="shared" si="20"/>
        <v>13.59755991</v>
      </c>
      <c r="AV23" s="269">
        <f t="shared" si="20"/>
        <v>13.59343684</v>
      </c>
      <c r="AW23" s="269">
        <f t="shared" si="20"/>
        <v>13.54559411</v>
      </c>
      <c r="AX23" s="269">
        <f t="shared" si="20"/>
        <v>13.52643124</v>
      </c>
      <c r="AY23" s="269">
        <f t="shared" si="20"/>
        <v>13.53510014</v>
      </c>
      <c r="AZ23" s="269">
        <f t="shared" si="20"/>
        <v>13.52337136</v>
      </c>
      <c r="BA23" s="269">
        <f t="shared" si="20"/>
        <v>13.54192453</v>
      </c>
      <c r="BB23" s="269">
        <f t="shared" si="20"/>
        <v>13.56433807</v>
      </c>
      <c r="BC23" s="269">
        <f t="shared" si="20"/>
        <v>13.56843147</v>
      </c>
      <c r="BD23" s="269">
        <f t="shared" si="20"/>
        <v>13.56040636</v>
      </c>
      <c r="BE23" s="269">
        <f t="shared" si="20"/>
        <v>13.55962445</v>
      </c>
      <c r="BF23" s="269">
        <f t="shared" si="20"/>
        <v>13.54478674</v>
      </c>
      <c r="BG23" s="269">
        <f t="shared" si="20"/>
        <v>13.53448428</v>
      </c>
      <c r="BH23" s="269">
        <f t="shared" si="20"/>
        <v>13.53823307</v>
      </c>
      <c r="BI23" s="269">
        <f t="shared" si="20"/>
        <v>13.54663311</v>
      </c>
      <c r="BJ23" s="269">
        <f t="shared" si="20"/>
        <v>13.55169436</v>
      </c>
      <c r="BK23" s="269">
        <f t="shared" si="20"/>
        <v>13.55894497</v>
      </c>
      <c r="BL23" s="269">
        <f t="shared" si="20"/>
        <v>13.55951742</v>
      </c>
      <c r="BM23" s="269">
        <f t="shared" si="20"/>
        <v>13.55354666</v>
      </c>
      <c r="BN23" s="269">
        <f t="shared" si="20"/>
        <v>13.54750698</v>
      </c>
      <c r="BO23" s="269">
        <f t="shared" si="20"/>
        <v>13.54475233</v>
      </c>
      <c r="BP23" s="269">
        <f t="shared" si="20"/>
        <v>13.54316631</v>
      </c>
      <c r="BQ23" s="269">
        <f t="shared" si="20"/>
        <v>13.54599796</v>
      </c>
      <c r="BR23" s="269">
        <f t="shared" si="20"/>
        <v>13.55100459</v>
      </c>
      <c r="BS23" s="269">
        <f t="shared" si="20"/>
        <v>13.5540673</v>
      </c>
      <c r="BT23" s="241"/>
    </row>
    <row r="24">
      <c r="A24" s="241"/>
      <c r="B24" s="262"/>
      <c r="E24" s="263"/>
      <c r="K24" s="241"/>
      <c r="BT24" s="241"/>
    </row>
    <row r="25">
      <c r="A25" s="241"/>
      <c r="B25" s="243" t="s">
        <v>60</v>
      </c>
      <c r="C25" s="244"/>
      <c r="D25" s="244"/>
      <c r="E25" s="270"/>
      <c r="F25" s="244"/>
      <c r="G25" s="244"/>
      <c r="H25" s="244"/>
      <c r="I25" s="244"/>
      <c r="J25" s="244"/>
      <c r="K25" s="244"/>
      <c r="L25" s="244"/>
      <c r="M25" s="244"/>
      <c r="N25" s="244"/>
      <c r="O25" s="244"/>
      <c r="P25" s="244"/>
      <c r="Q25" s="244"/>
      <c r="R25" s="244"/>
      <c r="S25" s="244"/>
      <c r="T25" s="244"/>
      <c r="U25" s="244"/>
      <c r="V25" s="244"/>
      <c r="W25" s="244"/>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244"/>
      <c r="AZ25" s="244"/>
      <c r="BA25" s="244"/>
      <c r="BB25" s="244"/>
      <c r="BC25" s="244"/>
      <c r="BD25" s="244"/>
      <c r="BE25" s="244"/>
      <c r="BF25" s="244"/>
      <c r="BG25" s="244"/>
      <c r="BH25" s="244"/>
      <c r="BI25" s="244"/>
      <c r="BJ25" s="244"/>
      <c r="BK25" s="244"/>
      <c r="BL25" s="244"/>
      <c r="BM25" s="244"/>
      <c r="BN25" s="244"/>
      <c r="BO25" s="244"/>
      <c r="BP25" s="244"/>
      <c r="BQ25" s="244"/>
      <c r="BR25" s="244"/>
      <c r="BS25" s="244"/>
      <c r="BT25" s="241"/>
    </row>
    <row r="26">
      <c r="A26" s="241"/>
      <c r="B26" s="245" t="s">
        <v>61</v>
      </c>
      <c r="C26" s="246"/>
      <c r="D26" s="246"/>
      <c r="E26" s="252" t="s">
        <v>33</v>
      </c>
      <c r="F26" s="271">
        <f t="shared" ref="F26:J26" si="21">SUMIFS($L26:$BS26,$L$15:$BS$15,F$15)</f>
        <v>6108</v>
      </c>
      <c r="G26" s="271">
        <f t="shared" si="21"/>
        <v>5986</v>
      </c>
      <c r="H26" s="271">
        <f t="shared" si="21"/>
        <v>6000</v>
      </c>
      <c r="I26" s="271">
        <f t="shared" si="21"/>
        <v>6000</v>
      </c>
      <c r="J26" s="271">
        <f t="shared" si="21"/>
        <v>6000</v>
      </c>
      <c r="K26" s="241"/>
      <c r="L26" s="272">
        <f>IF(L$13=1,Actuals!N38,'Key Assumptions'!O26)</f>
        <v>466</v>
      </c>
      <c r="M26" s="272">
        <f>IF(M$13=1,Actuals!O38,'Key Assumptions'!P26)</f>
        <v>534</v>
      </c>
      <c r="N26" s="272">
        <f>IF(N$13=1,Actuals!P38,'Key Assumptions'!Q26)</f>
        <v>485</v>
      </c>
      <c r="O26" s="272">
        <f>IF(O$13=1,Actuals!Q38,'Key Assumptions'!R26)</f>
        <v>507</v>
      </c>
      <c r="P26" s="272">
        <f>IF(P$13=1,Actuals!R38,'Key Assumptions'!S26)</f>
        <v>515</v>
      </c>
      <c r="Q26" s="272">
        <f>IF(Q$13=1,Actuals!S38,'Key Assumptions'!T26)</f>
        <v>542</v>
      </c>
      <c r="R26" s="272">
        <f>IF(R$13=1,Actuals!T38,'Key Assumptions'!U26)</f>
        <v>466</v>
      </c>
      <c r="S26" s="272">
        <f>IF(S$13=1,Actuals!U38,'Key Assumptions'!V26)</f>
        <v>541</v>
      </c>
      <c r="T26" s="272">
        <f>IF(T$13=1,Actuals!V38,'Key Assumptions'!W26)</f>
        <v>536</v>
      </c>
      <c r="U26" s="272">
        <f>IF(U$13=1,Actuals!W38,'Key Assumptions'!X26)</f>
        <v>469</v>
      </c>
      <c r="V26" s="272">
        <f>IF(V$13=1,Actuals!X38,'Key Assumptions'!Y26)</f>
        <v>525</v>
      </c>
      <c r="W26" s="272">
        <f>IF(W$13=1,Actuals!Y38,'Key Assumptions'!Z26)</f>
        <v>522</v>
      </c>
      <c r="X26" s="272">
        <f>IF(X$13=1,Actuals!Z38,'Key Assumptions'!AA26)</f>
        <v>508</v>
      </c>
      <c r="Y26" s="272">
        <f>IF(Y$13=1,Actuals!AA38,'Key Assumptions'!AB26)</f>
        <v>450</v>
      </c>
      <c r="Z26" s="272">
        <f>IF(Z$13=1,Actuals!AB38,'Key Assumptions'!AC26)</f>
        <v>450</v>
      </c>
      <c r="AA26" s="272">
        <f>IF(AA$13=1,Actuals!AC38,'Key Assumptions'!AD26)</f>
        <v>520</v>
      </c>
      <c r="AB26" s="272">
        <f>IF(AB$13=1,Actuals!AD38,'Key Assumptions'!AE26)</f>
        <v>531</v>
      </c>
      <c r="AC26" s="272">
        <f>IF(AC$13=1,Actuals!AE38,'Key Assumptions'!AF26)</f>
        <v>527</v>
      </c>
      <c r="AD26" s="249">
        <f>IF(AD$13=1,Actuals!AF38,'Key Assumptions'!AG26)</f>
        <v>500</v>
      </c>
      <c r="AE26" s="249">
        <f>IF(AE$13=1,Actuals!AG38,'Key Assumptions'!AH26)</f>
        <v>500</v>
      </c>
      <c r="AF26" s="249">
        <f>IF(AF$13=1,Actuals!AH38,'Key Assumptions'!AI26)</f>
        <v>500</v>
      </c>
      <c r="AG26" s="249">
        <f>IF(AG$13=1,Actuals!AI38,'Key Assumptions'!AJ26)</f>
        <v>500</v>
      </c>
      <c r="AH26" s="249">
        <f>IF(AH$13=1,Actuals!AJ38,'Key Assumptions'!AK26)</f>
        <v>500</v>
      </c>
      <c r="AI26" s="249">
        <f>IF(AI$13=1,Actuals!AK38,'Key Assumptions'!AL26)</f>
        <v>500</v>
      </c>
      <c r="AJ26" s="249">
        <f>IF(AJ$13=1,Actuals!AL38,'Key Assumptions'!AM26)</f>
        <v>500</v>
      </c>
      <c r="AK26" s="249">
        <f>IF(AK$13=1,Actuals!AM38,'Key Assumptions'!AN26)</f>
        <v>500</v>
      </c>
      <c r="AL26" s="249">
        <f>IF(AL$13=1,Actuals!AN38,'Key Assumptions'!AO26)</f>
        <v>500</v>
      </c>
      <c r="AM26" s="249">
        <f>IF(AM$13=1,Actuals!AO38,'Key Assumptions'!AP26)</f>
        <v>500</v>
      </c>
      <c r="AN26" s="249">
        <f>IF(AN$13=1,Actuals!AP38,'Key Assumptions'!AQ26)</f>
        <v>500</v>
      </c>
      <c r="AO26" s="249">
        <f>IF(AO$13=1,Actuals!AQ38,'Key Assumptions'!AR26)</f>
        <v>500</v>
      </c>
      <c r="AP26" s="249">
        <f>IF(AP$13=1,Actuals!AR38,'Key Assumptions'!AS26)</f>
        <v>500</v>
      </c>
      <c r="AQ26" s="249">
        <f>IF(AQ$13=1,Actuals!AS38,'Key Assumptions'!AT26)</f>
        <v>500</v>
      </c>
      <c r="AR26" s="249">
        <f>IF(AR$13=1,Actuals!AT38,'Key Assumptions'!AU26)</f>
        <v>500</v>
      </c>
      <c r="AS26" s="249">
        <f>IF(AS$13=1,Actuals!AU38,'Key Assumptions'!AV26)</f>
        <v>500</v>
      </c>
      <c r="AT26" s="249">
        <f>IF(AT$13=1,Actuals!AV38,'Key Assumptions'!AW26)</f>
        <v>500</v>
      </c>
      <c r="AU26" s="249">
        <f>IF(AU$13=1,Actuals!AW38,'Key Assumptions'!AX26)</f>
        <v>500</v>
      </c>
      <c r="AV26" s="249">
        <f>IF(AV$13=1,Actuals!AX38,'Key Assumptions'!AY26)</f>
        <v>500</v>
      </c>
      <c r="AW26" s="249">
        <f>IF(AW$13=1,Actuals!AY38,'Key Assumptions'!AZ26)</f>
        <v>500</v>
      </c>
      <c r="AX26" s="249">
        <f>IF(AX$13=1,Actuals!AZ38,'Key Assumptions'!BA26)</f>
        <v>500</v>
      </c>
      <c r="AY26" s="249">
        <f>IF(AY$13=1,Actuals!BA38,'Key Assumptions'!BB26)</f>
        <v>500</v>
      </c>
      <c r="AZ26" s="249">
        <f>IF(AZ$13=1,Actuals!BB38,'Key Assumptions'!BC26)</f>
        <v>500</v>
      </c>
      <c r="BA26" s="249">
        <f>IF(BA$13=1,Actuals!BC38,'Key Assumptions'!BD26)</f>
        <v>500</v>
      </c>
      <c r="BB26" s="249">
        <f>IF(BB$13=1,Actuals!BD38,'Key Assumptions'!BE26)</f>
        <v>500</v>
      </c>
      <c r="BC26" s="249">
        <f>IF(BC$13=1,Actuals!BE38,'Key Assumptions'!BF26)</f>
        <v>500</v>
      </c>
      <c r="BD26" s="249">
        <f>IF(BD$13=1,Actuals!BF38,'Key Assumptions'!BG26)</f>
        <v>500</v>
      </c>
      <c r="BE26" s="249">
        <f>IF(BE$13=1,Actuals!BG38,'Key Assumptions'!BH26)</f>
        <v>500</v>
      </c>
      <c r="BF26" s="249">
        <f>IF(BF$13=1,Actuals!BH38,'Key Assumptions'!BI26)</f>
        <v>500</v>
      </c>
      <c r="BG26" s="249">
        <f>IF(BG$13=1,Actuals!BI38,'Key Assumptions'!BJ26)</f>
        <v>500</v>
      </c>
      <c r="BH26" s="249">
        <f>IF(BH$13=1,Actuals!BJ38,'Key Assumptions'!BK26)</f>
        <v>500</v>
      </c>
      <c r="BI26" s="249">
        <f>IF(BI$13=1,Actuals!BK38,'Key Assumptions'!BL26)</f>
        <v>500</v>
      </c>
      <c r="BJ26" s="249">
        <f>IF(BJ$13=1,Actuals!BL38,'Key Assumptions'!BM26)</f>
        <v>500</v>
      </c>
      <c r="BK26" s="249">
        <f>IF(BK$13=1,Actuals!BM38,'Key Assumptions'!BN26)</f>
        <v>500</v>
      </c>
      <c r="BL26" s="249">
        <f>IF(BL$13=1,Actuals!BN38,'Key Assumptions'!BO26)</f>
        <v>500</v>
      </c>
      <c r="BM26" s="249">
        <f>IF(BM$13=1,Actuals!BO38,'Key Assumptions'!BP26)</f>
        <v>500</v>
      </c>
      <c r="BN26" s="249">
        <f>IF(BN$13=1,Actuals!BP38,'Key Assumptions'!BQ26)</f>
        <v>500</v>
      </c>
      <c r="BO26" s="249">
        <f>IF(BO$13=1,Actuals!BQ38,'Key Assumptions'!BR26)</f>
        <v>500</v>
      </c>
      <c r="BP26" s="249">
        <f>IF(BP$13=1,Actuals!BR38,'Key Assumptions'!BS26)</f>
        <v>500</v>
      </c>
      <c r="BQ26" s="249">
        <f>IF(BQ$13=1,Actuals!BS38,'Key Assumptions'!BT26)</f>
        <v>500</v>
      </c>
      <c r="BR26" s="249">
        <f>IF(BR$13=1,Actuals!BT38,'Key Assumptions'!BU26)</f>
        <v>500</v>
      </c>
      <c r="BS26" s="249">
        <f>IF(BS$13=1,Actuals!BU38,'Key Assumptions'!BV26)</f>
        <v>500</v>
      </c>
      <c r="BT26" s="241"/>
    </row>
    <row r="27">
      <c r="A27" s="241"/>
      <c r="B27" s="250" t="s">
        <v>62</v>
      </c>
      <c r="C27" s="251"/>
      <c r="D27" s="251"/>
      <c r="E27" s="252" t="s">
        <v>33</v>
      </c>
      <c r="F27" s="271">
        <f t="shared" ref="F27:J27" si="22">SUMIFS($L27:$BS27,$L$15:$BS$15,F$15)</f>
        <v>787</v>
      </c>
      <c r="G27" s="271">
        <f t="shared" si="22"/>
        <v>695</v>
      </c>
      <c r="H27" s="271">
        <f t="shared" si="22"/>
        <v>600</v>
      </c>
      <c r="I27" s="271">
        <f t="shared" si="22"/>
        <v>600</v>
      </c>
      <c r="J27" s="271">
        <f t="shared" si="22"/>
        <v>600</v>
      </c>
      <c r="K27" s="241"/>
      <c r="L27" s="271">
        <f>if(L13=1,Actuals!N39,round(L26*L31,0))</f>
        <v>61</v>
      </c>
      <c r="M27" s="271">
        <f>if(M13=1,Actuals!O39,round(M26*M31,0))</f>
        <v>80</v>
      </c>
      <c r="N27" s="271">
        <f>if(N13=1,Actuals!P39,round(N26*N31,0))</f>
        <v>68</v>
      </c>
      <c r="O27" s="271">
        <f>if(O13=1,Actuals!Q39,round(O26*O31,0))</f>
        <v>61</v>
      </c>
      <c r="P27" s="271">
        <f>if(P13=1,Actuals!R39,round(P26*P31,0))</f>
        <v>62</v>
      </c>
      <c r="Q27" s="271">
        <f>if(Q13=1,Actuals!S39,round(Q26*Q31,0))</f>
        <v>76</v>
      </c>
      <c r="R27" s="271">
        <f>if(R13=1,Actuals!T39,round(R26*R31,0))</f>
        <v>70</v>
      </c>
      <c r="S27" s="271">
        <f>if(S13=1,Actuals!U39,round(S26*S31,0))</f>
        <v>70</v>
      </c>
      <c r="T27" s="271">
        <f>if(T13=1,Actuals!V39,round(T26*T31,0))</f>
        <v>54</v>
      </c>
      <c r="U27" s="271">
        <f>if(U13=1,Actuals!W39,round(U26*U31,0))</f>
        <v>70</v>
      </c>
      <c r="V27" s="271">
        <f>if(V13=1,Actuals!X39,round(V26*V31,0))</f>
        <v>63</v>
      </c>
      <c r="W27" s="271">
        <f>if(W13=1,Actuals!Y39,round(W26*W31,0))</f>
        <v>52</v>
      </c>
      <c r="X27" s="271">
        <f>if(X13=1,Actuals!Z39,round(X26*X31,0))</f>
        <v>71</v>
      </c>
      <c r="Y27" s="271">
        <f>if(Y13=1,Actuals!AA39,round(Y26*Y31,0))</f>
        <v>54</v>
      </c>
      <c r="Z27" s="271">
        <f>if(Z13=1,Actuals!AB39,round(Z26*Z31,0))</f>
        <v>54</v>
      </c>
      <c r="AA27" s="271">
        <f>if(AA13=1,Actuals!AC39,round(AA26*AA31,0))</f>
        <v>78</v>
      </c>
      <c r="AB27" s="271">
        <f>if(AB13=1,Actuals!AD39,round(AB26*AB31,0))</f>
        <v>69</v>
      </c>
      <c r="AC27" s="271">
        <f>if(AC13=1,Actuals!AE39,round(AC26*AC31,0))</f>
        <v>69</v>
      </c>
      <c r="AD27" s="271">
        <f>if(AD13=1,Actuals!AF39,round(AD26*AD31,0))</f>
        <v>50</v>
      </c>
      <c r="AE27" s="271">
        <f>if(AE13=1,Actuals!AG39,round(AE26*AE31,0))</f>
        <v>50</v>
      </c>
      <c r="AF27" s="271">
        <f>if(AF13=1,Actuals!AH39,round(AF26*AF31,0))</f>
        <v>50</v>
      </c>
      <c r="AG27" s="271">
        <f>if(AG13=1,Actuals!AI39,round(AG26*AG31,0))</f>
        <v>50</v>
      </c>
      <c r="AH27" s="271">
        <f>if(AH13=1,Actuals!AJ39,round(AH26*AH31,0))</f>
        <v>50</v>
      </c>
      <c r="AI27" s="271">
        <f>if(AI13=1,Actuals!AK39,round(AI26*AI31,0))</f>
        <v>50</v>
      </c>
      <c r="AJ27" s="271">
        <f>if(AJ13=1,Actuals!AL39,round(AJ26*AJ31,0))</f>
        <v>50</v>
      </c>
      <c r="AK27" s="271">
        <f>if(AK13=1,Actuals!AM39,round(AK26*AK31,0))</f>
        <v>50</v>
      </c>
      <c r="AL27" s="271">
        <f>if(AL13=1,Actuals!AN39,round(AL26*AL31,0))</f>
        <v>50</v>
      </c>
      <c r="AM27" s="271">
        <f>if(AM13=1,Actuals!AO39,round(AM26*AM31,0))</f>
        <v>50</v>
      </c>
      <c r="AN27" s="271">
        <f>if(AN13=1,Actuals!AP39,round(AN26*AN31,0))</f>
        <v>50</v>
      </c>
      <c r="AO27" s="271">
        <f>if(AO13=1,Actuals!AQ39,round(AO26*AO31,0))</f>
        <v>50</v>
      </c>
      <c r="AP27" s="271">
        <f>if(AP13=1,Actuals!AR39,round(AP26*AP31,0))</f>
        <v>50</v>
      </c>
      <c r="AQ27" s="271">
        <f>if(AQ13=1,Actuals!AS39,round(AQ26*AQ31,0))</f>
        <v>50</v>
      </c>
      <c r="AR27" s="271">
        <f>if(AR13=1,Actuals!AT39,round(AR26*AR31,0))</f>
        <v>50</v>
      </c>
      <c r="AS27" s="271">
        <f>if(AS13=1,Actuals!AU39,round(AS26*AS31,0))</f>
        <v>50</v>
      </c>
      <c r="AT27" s="271">
        <f>if(AT13=1,Actuals!AV39,round(AT26*AT31,0))</f>
        <v>50</v>
      </c>
      <c r="AU27" s="271">
        <f>if(AU13=1,Actuals!AW39,round(AU26*AU31,0))</f>
        <v>50</v>
      </c>
      <c r="AV27" s="271">
        <f>if(AV13=1,Actuals!AX39,round(AV26*AV31,0))</f>
        <v>50</v>
      </c>
      <c r="AW27" s="271">
        <f>if(AW13=1,Actuals!AY39,round(AW26*AW31,0))</f>
        <v>50</v>
      </c>
      <c r="AX27" s="271">
        <f>if(AX13=1,Actuals!AZ39,round(AX26*AX31,0))</f>
        <v>50</v>
      </c>
      <c r="AY27" s="271">
        <f>if(AY13=1,Actuals!BA39,round(AY26*AY31,0))</f>
        <v>50</v>
      </c>
      <c r="AZ27" s="271">
        <f>if(AZ13=1,Actuals!BB39,round(AZ26*AZ31,0))</f>
        <v>50</v>
      </c>
      <c r="BA27" s="271">
        <f>if(BA13=1,Actuals!BC39,round(BA26*BA31,0))</f>
        <v>50</v>
      </c>
      <c r="BB27" s="271">
        <f>if(BB13=1,Actuals!BD39,round(BB26*BB31,0))</f>
        <v>50</v>
      </c>
      <c r="BC27" s="271">
        <f>if(BC13=1,Actuals!BE39,round(BC26*BC31,0))</f>
        <v>50</v>
      </c>
      <c r="BD27" s="271">
        <f>if(BD13=1,Actuals!BF39,round(BD26*BD31,0))</f>
        <v>50</v>
      </c>
      <c r="BE27" s="271">
        <f>if(BE13=1,Actuals!BG39,round(BE26*BE31,0))</f>
        <v>50</v>
      </c>
      <c r="BF27" s="271">
        <f>if(BF13=1,Actuals!BH39,round(BF26*BF31,0))</f>
        <v>50</v>
      </c>
      <c r="BG27" s="271">
        <f>if(BG13=1,Actuals!BI39,round(BG26*BG31,0))</f>
        <v>50</v>
      </c>
      <c r="BH27" s="271">
        <f>if(BH13=1,Actuals!BJ39,round(BH26*BH31,0))</f>
        <v>50</v>
      </c>
      <c r="BI27" s="271">
        <f>if(BI13=1,Actuals!BK39,round(BI26*BI31,0))</f>
        <v>50</v>
      </c>
      <c r="BJ27" s="271">
        <f>if(BJ13=1,Actuals!BL39,round(BJ26*BJ31,0))</f>
        <v>50</v>
      </c>
      <c r="BK27" s="271">
        <f>if(BK13=1,Actuals!BM39,round(BK26*BK31,0))</f>
        <v>50</v>
      </c>
      <c r="BL27" s="271">
        <f>if(BL13=1,Actuals!BN39,round(BL26*BL31,0))</f>
        <v>50</v>
      </c>
      <c r="BM27" s="271">
        <f>if(BM13=1,Actuals!BO39,round(BM26*BM31,0))</f>
        <v>50</v>
      </c>
      <c r="BN27" s="271">
        <f>if(BN13=1,Actuals!BP39,round(BN26*BN31,0))</f>
        <v>50</v>
      </c>
      <c r="BO27" s="271">
        <f>if(BO13=1,Actuals!BQ39,round(BO26*BO31,0))</f>
        <v>50</v>
      </c>
      <c r="BP27" s="271">
        <f>if(BP13=1,Actuals!BR39,round(BP26*BP31,0))</f>
        <v>50</v>
      </c>
      <c r="BQ27" s="271">
        <f>if(BQ13=1,Actuals!BS39,round(BQ26*BQ31,0))</f>
        <v>50</v>
      </c>
      <c r="BR27" s="271">
        <f>if(BR13=1,Actuals!BT39,round(BR26*BR31,0))</f>
        <v>50</v>
      </c>
      <c r="BS27" s="271">
        <f>if(BS13=1,Actuals!BU39,round(BS26*BS31,0))</f>
        <v>50</v>
      </c>
      <c r="BT27" s="241"/>
    </row>
    <row r="28">
      <c r="A28" s="241"/>
      <c r="B28" s="250" t="s">
        <v>63</v>
      </c>
      <c r="C28" s="251"/>
      <c r="D28" s="251"/>
      <c r="E28" s="252" t="s">
        <v>33</v>
      </c>
      <c r="F28" s="271">
        <f t="shared" ref="F28:J28" si="23">SUMIFS($L28:$BS28,$L$15:$BS$15,F$15)</f>
        <v>353</v>
      </c>
      <c r="G28" s="271">
        <f t="shared" si="23"/>
        <v>329</v>
      </c>
      <c r="H28" s="271">
        <f t="shared" si="23"/>
        <v>300</v>
      </c>
      <c r="I28" s="271">
        <f t="shared" si="23"/>
        <v>300</v>
      </c>
      <c r="J28" s="271">
        <f t="shared" si="23"/>
        <v>300</v>
      </c>
      <c r="K28" s="241"/>
      <c r="L28" s="271">
        <f>if(L13=1,Actuals!N40,round(L27*L32,0))</f>
        <v>22</v>
      </c>
      <c r="M28" s="271">
        <f>if(M13=1,Actuals!O40,round(M27*M32,0))</f>
        <v>31</v>
      </c>
      <c r="N28" s="271">
        <f>if(N13=1,Actuals!P40,round(N27*N32,0))</f>
        <v>31</v>
      </c>
      <c r="O28" s="271">
        <f>if(O13=1,Actuals!Q40,round(O27*O32,0))</f>
        <v>28</v>
      </c>
      <c r="P28" s="271">
        <f>if(P13=1,Actuals!R40,round(P27*P32,0))</f>
        <v>24</v>
      </c>
      <c r="Q28" s="271">
        <f>if(Q13=1,Actuals!S40,round(Q27*Q32,0))</f>
        <v>41</v>
      </c>
      <c r="R28" s="271">
        <f>if(R13=1,Actuals!T40,round(R27*R32,0))</f>
        <v>37</v>
      </c>
      <c r="S28" s="271">
        <f>if(S13=1,Actuals!U40,round(S27*S32,0))</f>
        <v>33</v>
      </c>
      <c r="T28" s="271">
        <f>if(T13=1,Actuals!V40,round(T27*T32,0))</f>
        <v>25</v>
      </c>
      <c r="U28" s="271">
        <f>if(U13=1,Actuals!W40,round(U27*U32,0))</f>
        <v>36</v>
      </c>
      <c r="V28" s="271">
        <f>if(V13=1,Actuals!X40,round(V27*V32,0))</f>
        <v>23</v>
      </c>
      <c r="W28" s="271">
        <f>if(W13=1,Actuals!Y40,round(W27*W32,0))</f>
        <v>22</v>
      </c>
      <c r="X28" s="271">
        <f>if(X13=1,Actuals!Z40,round(X27*X32,0))</f>
        <v>33</v>
      </c>
      <c r="Y28" s="271">
        <f>if(Y13=1,Actuals!AA40,round(Y27*Y32,0))</f>
        <v>27</v>
      </c>
      <c r="Z28" s="271">
        <f>if(Z13=1,Actuals!AB40,round(Z27*Z32,0))</f>
        <v>19</v>
      </c>
      <c r="AA28" s="271">
        <f>if(AA13=1,Actuals!AC40,round(AA27*AA32,0))</f>
        <v>28</v>
      </c>
      <c r="AB28" s="271">
        <f>if(AB13=1,Actuals!AD40,round(AB27*AB32,0))</f>
        <v>38</v>
      </c>
      <c r="AC28" s="271">
        <f>if(AC13=1,Actuals!AE40,round(AC27*AC32,0))</f>
        <v>34</v>
      </c>
      <c r="AD28" s="271">
        <f>if(AD13=1,Actuals!AF40,round(AD27*AD32,0))</f>
        <v>25</v>
      </c>
      <c r="AE28" s="271">
        <f>if(AE13=1,Actuals!AG40,round(AE27*AE32,0))</f>
        <v>25</v>
      </c>
      <c r="AF28" s="271">
        <f>if(AF13=1,Actuals!AH40,round(AF27*AF32,0))</f>
        <v>25</v>
      </c>
      <c r="AG28" s="271">
        <f>if(AG13=1,Actuals!AI40,round(AG27*AG32,0))</f>
        <v>25</v>
      </c>
      <c r="AH28" s="271">
        <f>if(AH13=1,Actuals!AJ40,round(AH27*AH32,0))</f>
        <v>25</v>
      </c>
      <c r="AI28" s="271">
        <f>if(AI13=1,Actuals!AK40,round(AI27*AI32,0))</f>
        <v>25</v>
      </c>
      <c r="AJ28" s="271">
        <f>if(AJ13=1,Actuals!AL40,round(AJ27*AJ32,0))</f>
        <v>25</v>
      </c>
      <c r="AK28" s="271">
        <f>if(AK13=1,Actuals!AM40,round(AK27*AK32,0))</f>
        <v>25</v>
      </c>
      <c r="AL28" s="271">
        <f>if(AL13=1,Actuals!AN40,round(AL27*AL32,0))</f>
        <v>25</v>
      </c>
      <c r="AM28" s="271">
        <f>if(AM13=1,Actuals!AO40,round(AM27*AM32,0))</f>
        <v>25</v>
      </c>
      <c r="AN28" s="271">
        <f>if(AN13=1,Actuals!AP40,round(AN27*AN32,0))</f>
        <v>25</v>
      </c>
      <c r="AO28" s="271">
        <f>if(AO13=1,Actuals!AQ40,round(AO27*AO32,0))</f>
        <v>25</v>
      </c>
      <c r="AP28" s="271">
        <f>if(AP13=1,Actuals!AR40,round(AP27*AP32,0))</f>
        <v>25</v>
      </c>
      <c r="AQ28" s="271">
        <f>if(AQ13=1,Actuals!AS40,round(AQ27*AQ32,0))</f>
        <v>25</v>
      </c>
      <c r="AR28" s="271">
        <f>if(AR13=1,Actuals!AT40,round(AR27*AR32,0))</f>
        <v>25</v>
      </c>
      <c r="AS28" s="271">
        <f>if(AS13=1,Actuals!AU40,round(AS27*AS32,0))</f>
        <v>25</v>
      </c>
      <c r="AT28" s="271">
        <f>if(AT13=1,Actuals!AV40,round(AT27*AT32,0))</f>
        <v>25</v>
      </c>
      <c r="AU28" s="271">
        <f>if(AU13=1,Actuals!AW40,round(AU27*AU32,0))</f>
        <v>25</v>
      </c>
      <c r="AV28" s="271">
        <f>if(AV13=1,Actuals!AX40,round(AV27*AV32,0))</f>
        <v>25</v>
      </c>
      <c r="AW28" s="271">
        <f>if(AW13=1,Actuals!AY40,round(AW27*AW32,0))</f>
        <v>25</v>
      </c>
      <c r="AX28" s="271">
        <f>if(AX13=1,Actuals!AZ40,round(AX27*AX32,0))</f>
        <v>25</v>
      </c>
      <c r="AY28" s="271">
        <f>if(AY13=1,Actuals!BA40,round(AY27*AY32,0))</f>
        <v>25</v>
      </c>
      <c r="AZ28" s="271">
        <f>if(AZ13=1,Actuals!BB40,round(AZ27*AZ32,0))</f>
        <v>25</v>
      </c>
      <c r="BA28" s="271">
        <f>if(BA13=1,Actuals!BC40,round(BA27*BA32,0))</f>
        <v>25</v>
      </c>
      <c r="BB28" s="271">
        <f>if(BB13=1,Actuals!BD40,round(BB27*BB32,0))</f>
        <v>25</v>
      </c>
      <c r="BC28" s="271">
        <f>if(BC13=1,Actuals!BE40,round(BC27*BC32,0))</f>
        <v>25</v>
      </c>
      <c r="BD28" s="271">
        <f>if(BD13=1,Actuals!BF40,round(BD27*BD32,0))</f>
        <v>25</v>
      </c>
      <c r="BE28" s="271">
        <f>if(BE13=1,Actuals!BG40,round(BE27*BE32,0))</f>
        <v>25</v>
      </c>
      <c r="BF28" s="271">
        <f>if(BF13=1,Actuals!BH40,round(BF27*BF32,0))</f>
        <v>25</v>
      </c>
      <c r="BG28" s="271">
        <f>if(BG13=1,Actuals!BI40,round(BG27*BG32,0))</f>
        <v>25</v>
      </c>
      <c r="BH28" s="271">
        <f>if(BH13=1,Actuals!BJ40,round(BH27*BH32,0))</f>
        <v>25</v>
      </c>
      <c r="BI28" s="271">
        <f>if(BI13=1,Actuals!BK40,round(BI27*BI32,0))</f>
        <v>25</v>
      </c>
      <c r="BJ28" s="271">
        <f>if(BJ13=1,Actuals!BL40,round(BJ27*BJ32,0))</f>
        <v>25</v>
      </c>
      <c r="BK28" s="271">
        <f>if(BK13=1,Actuals!BM40,round(BK27*BK32,0))</f>
        <v>25</v>
      </c>
      <c r="BL28" s="271">
        <f>if(BL13=1,Actuals!BN40,round(BL27*BL32,0))</f>
        <v>25</v>
      </c>
      <c r="BM28" s="271">
        <f>if(BM13=1,Actuals!BO40,round(BM27*BM32,0))</f>
        <v>25</v>
      </c>
      <c r="BN28" s="271">
        <f>if(BN13=1,Actuals!BP40,round(BN27*BN32,0))</f>
        <v>25</v>
      </c>
      <c r="BO28" s="271">
        <f>if(BO13=1,Actuals!BQ40,round(BO27*BO32,0))</f>
        <v>25</v>
      </c>
      <c r="BP28" s="271">
        <f>if(BP13=1,Actuals!BR40,round(BP27*BP32,0))</f>
        <v>25</v>
      </c>
      <c r="BQ28" s="271">
        <f>if(BQ13=1,Actuals!BS40,round(BQ27*BQ32,0))</f>
        <v>25</v>
      </c>
      <c r="BR28" s="271">
        <f>if(BR13=1,Actuals!BT40,round(BR27*BR32,0))</f>
        <v>25</v>
      </c>
      <c r="BS28" s="271">
        <f>if(BS13=1,Actuals!BU40,round(BS27*BS32,0))</f>
        <v>25</v>
      </c>
      <c r="BT28" s="241"/>
    </row>
    <row r="29">
      <c r="A29" s="241"/>
      <c r="B29" s="273" t="s">
        <v>64</v>
      </c>
      <c r="C29" s="274"/>
      <c r="D29" s="274"/>
      <c r="E29" s="252" t="s">
        <v>33</v>
      </c>
      <c r="F29" s="271">
        <f t="shared" ref="F29:J29" si="24">SUMIFS($L29:$BS29,$L$15:$BS$15,F$15)</f>
        <v>248</v>
      </c>
      <c r="G29" s="271">
        <f t="shared" si="24"/>
        <v>240</v>
      </c>
      <c r="H29" s="271">
        <f t="shared" si="24"/>
        <v>228</v>
      </c>
      <c r="I29" s="271">
        <f t="shared" si="24"/>
        <v>228</v>
      </c>
      <c r="J29" s="271">
        <f t="shared" si="24"/>
        <v>228</v>
      </c>
      <c r="K29" s="241"/>
      <c r="L29" s="271">
        <f>if(L13=1,Actuals!N41,round(L28*L33,0))</f>
        <v>16</v>
      </c>
      <c r="M29" s="271">
        <f>if(M13=1,Actuals!O41,round(M28*M33,0))</f>
        <v>21</v>
      </c>
      <c r="N29" s="271">
        <f>if(N13=1,Actuals!P41,round(N28*N33,0))</f>
        <v>23</v>
      </c>
      <c r="O29" s="271">
        <f>if(O13=1,Actuals!Q41,round(O28*O33,0))</f>
        <v>19</v>
      </c>
      <c r="P29" s="271">
        <f>if(P13=1,Actuals!R41,round(P28*P33,0))</f>
        <v>18</v>
      </c>
      <c r="Q29" s="271">
        <f>if(Q13=1,Actuals!S41,round(Q28*Q33,0))</f>
        <v>28</v>
      </c>
      <c r="R29" s="271">
        <f>if(R13=1,Actuals!T41,round(R28*R33,0))</f>
        <v>25</v>
      </c>
      <c r="S29" s="271">
        <f>if(S13=1,Actuals!U41,round(S28*S33,0))</f>
        <v>23</v>
      </c>
      <c r="T29" s="271">
        <f>if(T13=1,Actuals!V41,round(T28*T33,0))</f>
        <v>19</v>
      </c>
      <c r="U29" s="271">
        <f>if(U13=1,Actuals!W41,round(U28*U33,0))</f>
        <v>23</v>
      </c>
      <c r="V29" s="271">
        <f>if(V13=1,Actuals!X41,round(V28*V33,0))</f>
        <v>17</v>
      </c>
      <c r="W29" s="271">
        <f>if(W13=1,Actuals!Y41,round(W28*W33,0))</f>
        <v>16</v>
      </c>
      <c r="X29" s="271">
        <f>if(X13=1,Actuals!Z41,round(X28*X33,0))</f>
        <v>22</v>
      </c>
      <c r="Y29" s="271">
        <f>if(Y13=1,Actuals!AA41,round(Y28*Y33,0))</f>
        <v>20</v>
      </c>
      <c r="Z29" s="271">
        <f>if(Z13=1,Actuals!AB41,round(Z28*Z33,0))</f>
        <v>13</v>
      </c>
      <c r="AA29" s="271">
        <f>if(AA13=1,Actuals!AC41,round(AA28*AA33,0))</f>
        <v>21</v>
      </c>
      <c r="AB29" s="271">
        <f>if(AB13=1,Actuals!AD41,round(AB28*AB33,0))</f>
        <v>27</v>
      </c>
      <c r="AC29" s="271">
        <f>if(AC13=1,Actuals!AE41,round(AC28*AC33,0))</f>
        <v>23</v>
      </c>
      <c r="AD29" s="271">
        <f>if(AD13=1,Actuals!AF41,round(AD28*AD33,0))</f>
        <v>19</v>
      </c>
      <c r="AE29" s="271">
        <f>if(AE13=1,Actuals!AG41,round(AE28*AE33,0))</f>
        <v>19</v>
      </c>
      <c r="AF29" s="271">
        <f>if(AF13=1,Actuals!AH41,round(AF28*AF33,0))</f>
        <v>19</v>
      </c>
      <c r="AG29" s="271">
        <f>if(AG13=1,Actuals!AI41,round(AG28*AG33,0))</f>
        <v>19</v>
      </c>
      <c r="AH29" s="271">
        <f>if(AH13=1,Actuals!AJ41,round(AH28*AH33,0))</f>
        <v>19</v>
      </c>
      <c r="AI29" s="271">
        <f>if(AI13=1,Actuals!AK41,round(AI28*AI33,0))</f>
        <v>19</v>
      </c>
      <c r="AJ29" s="271">
        <f>if(AJ13=1,Actuals!AL41,round(AJ28*AJ33,0))</f>
        <v>19</v>
      </c>
      <c r="AK29" s="271">
        <f>if(AK13=1,Actuals!AM41,round(AK28*AK33,0))</f>
        <v>19</v>
      </c>
      <c r="AL29" s="271">
        <f>if(AL13=1,Actuals!AN41,round(AL28*AL33,0))</f>
        <v>19</v>
      </c>
      <c r="AM29" s="271">
        <f>if(AM13=1,Actuals!AO41,round(AM28*AM33,0))</f>
        <v>19</v>
      </c>
      <c r="AN29" s="271">
        <f>if(AN13=1,Actuals!AP41,round(AN28*AN33,0))</f>
        <v>19</v>
      </c>
      <c r="AO29" s="271">
        <f>if(AO13=1,Actuals!AQ41,round(AO28*AO33,0))</f>
        <v>19</v>
      </c>
      <c r="AP29" s="271">
        <f>if(AP13=1,Actuals!AR41,round(AP28*AP33,0))</f>
        <v>19</v>
      </c>
      <c r="AQ29" s="271">
        <f>if(AQ13=1,Actuals!AS41,round(AQ28*AQ33,0))</f>
        <v>19</v>
      </c>
      <c r="AR29" s="271">
        <f>if(AR13=1,Actuals!AT41,round(AR28*AR33,0))</f>
        <v>19</v>
      </c>
      <c r="AS29" s="271">
        <f>if(AS13=1,Actuals!AU41,round(AS28*AS33,0))</f>
        <v>19</v>
      </c>
      <c r="AT29" s="271">
        <f>if(AT13=1,Actuals!AV41,round(AT28*AT33,0))</f>
        <v>19</v>
      </c>
      <c r="AU29" s="271">
        <f>if(AU13=1,Actuals!AW41,round(AU28*AU33,0))</f>
        <v>19</v>
      </c>
      <c r="AV29" s="271">
        <f>if(AV13=1,Actuals!AX41,round(AV28*AV33,0))</f>
        <v>19</v>
      </c>
      <c r="AW29" s="271">
        <f>if(AW13=1,Actuals!AY41,round(AW28*AW33,0))</f>
        <v>19</v>
      </c>
      <c r="AX29" s="271">
        <f>if(AX13=1,Actuals!AZ41,round(AX28*AX33,0))</f>
        <v>19</v>
      </c>
      <c r="AY29" s="271">
        <f>if(AY13=1,Actuals!BA41,round(AY28*AY33,0))</f>
        <v>19</v>
      </c>
      <c r="AZ29" s="271">
        <f>if(AZ13=1,Actuals!BB41,round(AZ28*AZ33,0))</f>
        <v>19</v>
      </c>
      <c r="BA29" s="271">
        <f>if(BA13=1,Actuals!BC41,round(BA28*BA33,0))</f>
        <v>19</v>
      </c>
      <c r="BB29" s="271">
        <f>if(BB13=1,Actuals!BD41,round(BB28*BB33,0))</f>
        <v>19</v>
      </c>
      <c r="BC29" s="271">
        <f>if(BC13=1,Actuals!BE41,round(BC28*BC33,0))</f>
        <v>19</v>
      </c>
      <c r="BD29" s="271">
        <f>if(BD13=1,Actuals!BF41,round(BD28*BD33,0))</f>
        <v>19</v>
      </c>
      <c r="BE29" s="271">
        <f>if(BE13=1,Actuals!BG41,round(BE28*BE33,0))</f>
        <v>19</v>
      </c>
      <c r="BF29" s="271">
        <f>if(BF13=1,Actuals!BH41,round(BF28*BF33,0))</f>
        <v>19</v>
      </c>
      <c r="BG29" s="271">
        <f>if(BG13=1,Actuals!BI41,round(BG28*BG33,0))</f>
        <v>19</v>
      </c>
      <c r="BH29" s="271">
        <f>if(BH13=1,Actuals!BJ41,round(BH28*BH33,0))</f>
        <v>19</v>
      </c>
      <c r="BI29" s="271">
        <f>if(BI13=1,Actuals!BK41,round(BI28*BI33,0))</f>
        <v>19</v>
      </c>
      <c r="BJ29" s="271">
        <f>if(BJ13=1,Actuals!BL41,round(BJ28*BJ33,0))</f>
        <v>19</v>
      </c>
      <c r="BK29" s="271">
        <f>if(BK13=1,Actuals!BM41,round(BK28*BK33,0))</f>
        <v>19</v>
      </c>
      <c r="BL29" s="271">
        <f>if(BL13=1,Actuals!BN41,round(BL28*BL33,0))</f>
        <v>19</v>
      </c>
      <c r="BM29" s="271">
        <f>if(BM13=1,Actuals!BO41,round(BM28*BM33,0))</f>
        <v>19</v>
      </c>
      <c r="BN29" s="271">
        <f>if(BN13=1,Actuals!BP41,round(BN28*BN33,0))</f>
        <v>19</v>
      </c>
      <c r="BO29" s="271">
        <f>if(BO13=1,Actuals!BQ41,round(BO28*BO33,0))</f>
        <v>19</v>
      </c>
      <c r="BP29" s="271">
        <f>if(BP13=1,Actuals!BR41,round(BP28*BP33,0))</f>
        <v>19</v>
      </c>
      <c r="BQ29" s="271">
        <f>if(BQ13=1,Actuals!BS41,round(BQ28*BQ33,0))</f>
        <v>19</v>
      </c>
      <c r="BR29" s="271">
        <f>if(BR13=1,Actuals!BT41,round(BR28*BR33,0))</f>
        <v>19</v>
      </c>
      <c r="BS29" s="271">
        <f>if(BS13=1,Actuals!BU41,round(BS28*BS33,0))</f>
        <v>19</v>
      </c>
      <c r="BT29" s="241"/>
    </row>
    <row r="30">
      <c r="A30" s="241"/>
      <c r="E30" s="263"/>
      <c r="K30" s="241"/>
      <c r="BT30" s="241"/>
    </row>
    <row r="31">
      <c r="A31" s="241"/>
      <c r="B31" s="245" t="s">
        <v>103</v>
      </c>
      <c r="C31" s="246"/>
      <c r="D31" s="246"/>
      <c r="E31" s="247" t="s">
        <v>38</v>
      </c>
      <c r="F31" s="275">
        <f t="shared" ref="F31:J31" si="25">AVERAGEIFS($L31:$BS31,$L$15:$BS$15,F$15)</f>
        <v>0.1</v>
      </c>
      <c r="G31" s="275">
        <f t="shared" si="25"/>
        <v>0.1</v>
      </c>
      <c r="H31" s="275">
        <f t="shared" si="25"/>
        <v>0.1</v>
      </c>
      <c r="I31" s="275">
        <f t="shared" si="25"/>
        <v>0.1</v>
      </c>
      <c r="J31" s="275">
        <f t="shared" si="25"/>
        <v>0.1</v>
      </c>
      <c r="K31" s="241"/>
      <c r="L31" s="276">
        <v>0.1</v>
      </c>
      <c r="M31" s="276">
        <v>0.1</v>
      </c>
      <c r="N31" s="276">
        <v>0.1</v>
      </c>
      <c r="O31" s="276">
        <v>0.1</v>
      </c>
      <c r="P31" s="276">
        <v>0.1</v>
      </c>
      <c r="Q31" s="276">
        <v>0.1</v>
      </c>
      <c r="R31" s="276">
        <v>0.1</v>
      </c>
      <c r="S31" s="276">
        <v>0.1</v>
      </c>
      <c r="T31" s="276">
        <v>0.1</v>
      </c>
      <c r="U31" s="276">
        <v>0.1</v>
      </c>
      <c r="V31" s="276">
        <v>0.1</v>
      </c>
      <c r="W31" s="276">
        <v>0.1</v>
      </c>
      <c r="X31" s="276">
        <v>0.1</v>
      </c>
      <c r="Y31" s="276">
        <v>0.1</v>
      </c>
      <c r="Z31" s="276">
        <v>0.1</v>
      </c>
      <c r="AA31" s="276">
        <v>0.1</v>
      </c>
      <c r="AB31" s="276">
        <v>0.1</v>
      </c>
      <c r="AC31" s="276">
        <v>0.1</v>
      </c>
      <c r="AD31" s="276">
        <v>0.1</v>
      </c>
      <c r="AE31" s="276">
        <v>0.1</v>
      </c>
      <c r="AF31" s="276">
        <v>0.1</v>
      </c>
      <c r="AG31" s="276">
        <v>0.1</v>
      </c>
      <c r="AH31" s="276">
        <v>0.1</v>
      </c>
      <c r="AI31" s="276">
        <v>0.1</v>
      </c>
      <c r="AJ31" s="276">
        <v>0.1</v>
      </c>
      <c r="AK31" s="276">
        <v>0.1</v>
      </c>
      <c r="AL31" s="276">
        <v>0.1</v>
      </c>
      <c r="AM31" s="276">
        <v>0.1</v>
      </c>
      <c r="AN31" s="276">
        <v>0.1</v>
      </c>
      <c r="AO31" s="276">
        <v>0.1</v>
      </c>
      <c r="AP31" s="276">
        <v>0.1</v>
      </c>
      <c r="AQ31" s="276">
        <v>0.1</v>
      </c>
      <c r="AR31" s="276">
        <v>0.1</v>
      </c>
      <c r="AS31" s="276">
        <v>0.1</v>
      </c>
      <c r="AT31" s="276">
        <v>0.1</v>
      </c>
      <c r="AU31" s="276">
        <v>0.1</v>
      </c>
      <c r="AV31" s="276">
        <v>0.1</v>
      </c>
      <c r="AW31" s="276">
        <v>0.1</v>
      </c>
      <c r="AX31" s="276">
        <v>0.1</v>
      </c>
      <c r="AY31" s="276">
        <v>0.1</v>
      </c>
      <c r="AZ31" s="276">
        <v>0.1</v>
      </c>
      <c r="BA31" s="276">
        <v>0.1</v>
      </c>
      <c r="BB31" s="276">
        <v>0.1</v>
      </c>
      <c r="BC31" s="276">
        <v>0.1</v>
      </c>
      <c r="BD31" s="276">
        <v>0.1</v>
      </c>
      <c r="BE31" s="276">
        <v>0.1</v>
      </c>
      <c r="BF31" s="276">
        <v>0.1</v>
      </c>
      <c r="BG31" s="276">
        <v>0.1</v>
      </c>
      <c r="BH31" s="276">
        <v>0.1</v>
      </c>
      <c r="BI31" s="276">
        <v>0.1</v>
      </c>
      <c r="BJ31" s="276">
        <v>0.1</v>
      </c>
      <c r="BK31" s="276">
        <v>0.1</v>
      </c>
      <c r="BL31" s="276">
        <v>0.1</v>
      </c>
      <c r="BM31" s="276">
        <v>0.1</v>
      </c>
      <c r="BN31" s="276">
        <v>0.1</v>
      </c>
      <c r="BO31" s="276">
        <v>0.1</v>
      </c>
      <c r="BP31" s="276">
        <v>0.1</v>
      </c>
      <c r="BQ31" s="276">
        <v>0.1</v>
      </c>
      <c r="BR31" s="276">
        <v>0.1</v>
      </c>
      <c r="BS31" s="276">
        <v>0.1</v>
      </c>
      <c r="BT31" s="241"/>
    </row>
    <row r="32">
      <c r="A32" s="241"/>
      <c r="B32" s="245" t="s">
        <v>104</v>
      </c>
      <c r="C32" s="246"/>
      <c r="D32" s="246"/>
      <c r="E32" s="247" t="s">
        <v>38</v>
      </c>
      <c r="F32" s="275">
        <f t="shared" ref="F32:J32" si="26">AVERAGEIFS($L32:$BS32,$L$15:$BS$15,F$15)</f>
        <v>0.5</v>
      </c>
      <c r="G32" s="275">
        <f t="shared" si="26"/>
        <v>0.5</v>
      </c>
      <c r="H32" s="275">
        <f t="shared" si="26"/>
        <v>0.5</v>
      </c>
      <c r="I32" s="275">
        <f t="shared" si="26"/>
        <v>0.5</v>
      </c>
      <c r="J32" s="275">
        <f t="shared" si="26"/>
        <v>0.5</v>
      </c>
      <c r="K32" s="241"/>
      <c r="L32" s="276">
        <v>0.5</v>
      </c>
      <c r="M32" s="276">
        <v>0.5</v>
      </c>
      <c r="N32" s="276">
        <v>0.5</v>
      </c>
      <c r="O32" s="276">
        <v>0.5</v>
      </c>
      <c r="P32" s="276">
        <v>0.5</v>
      </c>
      <c r="Q32" s="276">
        <v>0.5</v>
      </c>
      <c r="R32" s="276">
        <v>0.5</v>
      </c>
      <c r="S32" s="276">
        <v>0.5</v>
      </c>
      <c r="T32" s="276">
        <v>0.5</v>
      </c>
      <c r="U32" s="276">
        <v>0.5</v>
      </c>
      <c r="V32" s="276">
        <v>0.5</v>
      </c>
      <c r="W32" s="276">
        <v>0.5</v>
      </c>
      <c r="X32" s="276">
        <v>0.5</v>
      </c>
      <c r="Y32" s="276">
        <v>0.5</v>
      </c>
      <c r="Z32" s="276">
        <v>0.5</v>
      </c>
      <c r="AA32" s="276">
        <v>0.5</v>
      </c>
      <c r="AB32" s="276">
        <v>0.5</v>
      </c>
      <c r="AC32" s="276">
        <v>0.5</v>
      </c>
      <c r="AD32" s="276">
        <v>0.5</v>
      </c>
      <c r="AE32" s="276">
        <v>0.5</v>
      </c>
      <c r="AF32" s="276">
        <v>0.5</v>
      </c>
      <c r="AG32" s="276">
        <v>0.5</v>
      </c>
      <c r="AH32" s="276">
        <v>0.5</v>
      </c>
      <c r="AI32" s="276">
        <v>0.5</v>
      </c>
      <c r="AJ32" s="276">
        <v>0.5</v>
      </c>
      <c r="AK32" s="276">
        <v>0.5</v>
      </c>
      <c r="AL32" s="276">
        <v>0.5</v>
      </c>
      <c r="AM32" s="276">
        <v>0.5</v>
      </c>
      <c r="AN32" s="276">
        <v>0.5</v>
      </c>
      <c r="AO32" s="276">
        <v>0.5</v>
      </c>
      <c r="AP32" s="276">
        <v>0.5</v>
      </c>
      <c r="AQ32" s="276">
        <v>0.5</v>
      </c>
      <c r="AR32" s="276">
        <v>0.5</v>
      </c>
      <c r="AS32" s="276">
        <v>0.5</v>
      </c>
      <c r="AT32" s="276">
        <v>0.5</v>
      </c>
      <c r="AU32" s="276">
        <v>0.5</v>
      </c>
      <c r="AV32" s="276">
        <v>0.5</v>
      </c>
      <c r="AW32" s="276">
        <v>0.5</v>
      </c>
      <c r="AX32" s="276">
        <v>0.5</v>
      </c>
      <c r="AY32" s="276">
        <v>0.5</v>
      </c>
      <c r="AZ32" s="276">
        <v>0.5</v>
      </c>
      <c r="BA32" s="276">
        <v>0.5</v>
      </c>
      <c r="BB32" s="276">
        <v>0.5</v>
      </c>
      <c r="BC32" s="276">
        <v>0.5</v>
      </c>
      <c r="BD32" s="276">
        <v>0.5</v>
      </c>
      <c r="BE32" s="276">
        <v>0.5</v>
      </c>
      <c r="BF32" s="276">
        <v>0.5</v>
      </c>
      <c r="BG32" s="276">
        <v>0.5</v>
      </c>
      <c r="BH32" s="276">
        <v>0.5</v>
      </c>
      <c r="BI32" s="276">
        <v>0.5</v>
      </c>
      <c r="BJ32" s="276">
        <v>0.5</v>
      </c>
      <c r="BK32" s="276">
        <v>0.5</v>
      </c>
      <c r="BL32" s="276">
        <v>0.5</v>
      </c>
      <c r="BM32" s="276">
        <v>0.5</v>
      </c>
      <c r="BN32" s="276">
        <v>0.5</v>
      </c>
      <c r="BO32" s="276">
        <v>0.5</v>
      </c>
      <c r="BP32" s="276">
        <v>0.5</v>
      </c>
      <c r="BQ32" s="276">
        <v>0.5</v>
      </c>
      <c r="BR32" s="276">
        <v>0.5</v>
      </c>
      <c r="BS32" s="276">
        <v>0.5</v>
      </c>
      <c r="BT32" s="241"/>
    </row>
    <row r="33">
      <c r="A33" s="241"/>
      <c r="B33" s="250" t="s">
        <v>105</v>
      </c>
      <c r="C33" s="251"/>
      <c r="D33" s="251"/>
      <c r="E33" s="252" t="s">
        <v>38</v>
      </c>
      <c r="F33" s="277">
        <f t="shared" ref="F33:J33" si="27">AVERAGEIFS($L33:$BS33,$L$15:$BS$15,F$15)</f>
        <v>0.75</v>
      </c>
      <c r="G33" s="275">
        <f t="shared" si="27"/>
        <v>0.75</v>
      </c>
      <c r="H33" s="275">
        <f t="shared" si="27"/>
        <v>0.75</v>
      </c>
      <c r="I33" s="275">
        <f t="shared" si="27"/>
        <v>0.75</v>
      </c>
      <c r="J33" s="275">
        <f t="shared" si="27"/>
        <v>0.75</v>
      </c>
      <c r="K33" s="241"/>
      <c r="L33" s="276">
        <v>0.75</v>
      </c>
      <c r="M33" s="276">
        <v>0.75</v>
      </c>
      <c r="N33" s="276">
        <v>0.75</v>
      </c>
      <c r="O33" s="276">
        <v>0.75</v>
      </c>
      <c r="P33" s="276">
        <v>0.75</v>
      </c>
      <c r="Q33" s="276">
        <v>0.75</v>
      </c>
      <c r="R33" s="276">
        <v>0.75</v>
      </c>
      <c r="S33" s="276">
        <v>0.75</v>
      </c>
      <c r="T33" s="276">
        <v>0.75</v>
      </c>
      <c r="U33" s="276">
        <v>0.75</v>
      </c>
      <c r="V33" s="276">
        <v>0.75</v>
      </c>
      <c r="W33" s="276">
        <v>0.75</v>
      </c>
      <c r="X33" s="276">
        <v>0.75</v>
      </c>
      <c r="Y33" s="276">
        <v>0.75</v>
      </c>
      <c r="Z33" s="276">
        <v>0.75</v>
      </c>
      <c r="AA33" s="276">
        <v>0.75</v>
      </c>
      <c r="AB33" s="276">
        <v>0.75</v>
      </c>
      <c r="AC33" s="276">
        <v>0.75</v>
      </c>
      <c r="AD33" s="276">
        <v>0.75</v>
      </c>
      <c r="AE33" s="276">
        <v>0.75</v>
      </c>
      <c r="AF33" s="276">
        <v>0.75</v>
      </c>
      <c r="AG33" s="276">
        <v>0.75</v>
      </c>
      <c r="AH33" s="276">
        <v>0.75</v>
      </c>
      <c r="AI33" s="276">
        <v>0.75</v>
      </c>
      <c r="AJ33" s="276">
        <v>0.75</v>
      </c>
      <c r="AK33" s="276">
        <v>0.75</v>
      </c>
      <c r="AL33" s="276">
        <v>0.75</v>
      </c>
      <c r="AM33" s="276">
        <v>0.75</v>
      </c>
      <c r="AN33" s="276">
        <v>0.75</v>
      </c>
      <c r="AO33" s="276">
        <v>0.75</v>
      </c>
      <c r="AP33" s="276">
        <v>0.75</v>
      </c>
      <c r="AQ33" s="276">
        <v>0.75</v>
      </c>
      <c r="AR33" s="276">
        <v>0.75</v>
      </c>
      <c r="AS33" s="276">
        <v>0.75</v>
      </c>
      <c r="AT33" s="276">
        <v>0.75</v>
      </c>
      <c r="AU33" s="276">
        <v>0.75</v>
      </c>
      <c r="AV33" s="276">
        <v>0.75</v>
      </c>
      <c r="AW33" s="276">
        <v>0.75</v>
      </c>
      <c r="AX33" s="276">
        <v>0.75</v>
      </c>
      <c r="AY33" s="276">
        <v>0.75</v>
      </c>
      <c r="AZ33" s="276">
        <v>0.75</v>
      </c>
      <c r="BA33" s="276">
        <v>0.75</v>
      </c>
      <c r="BB33" s="276">
        <v>0.75</v>
      </c>
      <c r="BC33" s="276">
        <v>0.75</v>
      </c>
      <c r="BD33" s="276">
        <v>0.75</v>
      </c>
      <c r="BE33" s="276">
        <v>0.75</v>
      </c>
      <c r="BF33" s="276">
        <v>0.75</v>
      </c>
      <c r="BG33" s="276">
        <v>0.75</v>
      </c>
      <c r="BH33" s="276">
        <v>0.75</v>
      </c>
      <c r="BI33" s="276">
        <v>0.75</v>
      </c>
      <c r="BJ33" s="276">
        <v>0.75</v>
      </c>
      <c r="BK33" s="276">
        <v>0.75</v>
      </c>
      <c r="BL33" s="276">
        <v>0.75</v>
      </c>
      <c r="BM33" s="276">
        <v>0.75</v>
      </c>
      <c r="BN33" s="276">
        <v>0.75</v>
      </c>
      <c r="BO33" s="276">
        <v>0.75</v>
      </c>
      <c r="BP33" s="276">
        <v>0.75</v>
      </c>
      <c r="BQ33" s="276">
        <v>0.75</v>
      </c>
      <c r="BR33" s="276">
        <v>0.75</v>
      </c>
      <c r="BS33" s="276">
        <v>0.75</v>
      </c>
      <c r="BT33" s="241"/>
    </row>
    <row r="34">
      <c r="A34" s="241"/>
      <c r="E34" s="263"/>
      <c r="K34" s="241"/>
      <c r="BT34" s="241"/>
    </row>
    <row r="35">
      <c r="A35" s="241"/>
      <c r="E35" s="263"/>
      <c r="K35" s="241"/>
      <c r="BT35" s="241"/>
    </row>
    <row r="36">
      <c r="A36" s="241"/>
      <c r="B36" s="243" t="s">
        <v>68</v>
      </c>
      <c r="C36" s="244"/>
      <c r="D36" s="244"/>
      <c r="E36" s="270"/>
      <c r="F36" s="244"/>
      <c r="G36" s="244"/>
      <c r="H36" s="244"/>
      <c r="I36" s="244"/>
      <c r="J36" s="244"/>
      <c r="K36" s="244"/>
      <c r="L36" s="244"/>
      <c r="M36" s="244"/>
      <c r="N36" s="244"/>
      <c r="O36" s="244"/>
      <c r="P36" s="244"/>
      <c r="Q36" s="244"/>
      <c r="R36" s="244"/>
      <c r="S36" s="244"/>
      <c r="T36" s="244"/>
      <c r="U36" s="244"/>
      <c r="V36" s="244"/>
      <c r="W36" s="244"/>
      <c r="X36" s="244"/>
      <c r="Y36" s="244"/>
      <c r="Z36" s="244"/>
      <c r="AA36" s="244"/>
      <c r="AB36" s="244"/>
      <c r="AC36" s="244"/>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244"/>
      <c r="AZ36" s="244"/>
      <c r="BA36" s="244"/>
      <c r="BB36" s="244"/>
      <c r="BC36" s="244"/>
      <c r="BD36" s="244"/>
      <c r="BE36" s="244"/>
      <c r="BF36" s="244"/>
      <c r="BG36" s="244"/>
      <c r="BH36" s="244"/>
      <c r="BI36" s="244"/>
      <c r="BJ36" s="244"/>
      <c r="BK36" s="244"/>
      <c r="BL36" s="244"/>
      <c r="BM36" s="244"/>
      <c r="BN36" s="244"/>
      <c r="BO36" s="244"/>
      <c r="BP36" s="244"/>
      <c r="BQ36" s="244"/>
      <c r="BR36" s="244"/>
      <c r="BS36" s="244"/>
      <c r="BT36" s="241"/>
    </row>
    <row r="37">
      <c r="A37" s="241"/>
      <c r="B37" s="278" t="str">
        <f>Summary!B36</f>
        <v>Customers Available to Renew</v>
      </c>
      <c r="C37" s="251"/>
      <c r="D37" s="251"/>
      <c r="E37" s="252" t="s">
        <v>33</v>
      </c>
      <c r="F37" s="248">
        <f>Summary!G36</f>
        <v>395</v>
      </c>
      <c r="G37" s="248">
        <f>Summary!H36</f>
        <v>324</v>
      </c>
      <c r="H37" s="248">
        <f>Summary!I36</f>
        <v>240</v>
      </c>
      <c r="I37" s="248">
        <f>Summary!J36</f>
        <v>228</v>
      </c>
      <c r="J37" s="248">
        <f>Summary!K36</f>
        <v>228</v>
      </c>
      <c r="K37" s="241"/>
      <c r="L37" s="248">
        <f>if(L13=1,Actuals!N71,A19)</f>
        <v>32</v>
      </c>
      <c r="M37" s="248">
        <f>if(M13=1,Actuals!O71,B19)</f>
        <v>41</v>
      </c>
      <c r="N37" s="248">
        <f>if(N13=1,Actuals!P71,C19)</f>
        <v>42</v>
      </c>
      <c r="O37" s="248">
        <f>if(O13=1,Actuals!Q71,#REF!)</f>
        <v>27</v>
      </c>
      <c r="P37" s="248">
        <f>if(P13=1,Actuals!R71,D19)</f>
        <v>35</v>
      </c>
      <c r="Q37" s="248">
        <f>if(Q13=1,Actuals!S71,E19)</f>
        <v>34</v>
      </c>
      <c r="R37" s="248">
        <f>if(R13=1,Actuals!T71,F19)</f>
        <v>39</v>
      </c>
      <c r="S37" s="248">
        <f>if(S13=1,Actuals!U71,G19)</f>
        <v>33</v>
      </c>
      <c r="T37" s="248">
        <f>if(T13=1,Actuals!V71,H19)</f>
        <v>30</v>
      </c>
      <c r="U37" s="248">
        <f>if(U13=1,Actuals!W71,I19)</f>
        <v>30</v>
      </c>
      <c r="V37" s="248">
        <f>if(V13=1,Actuals!X71,J19)</f>
        <v>27</v>
      </c>
      <c r="W37" s="248">
        <f>if(W13=1,Actuals!Y71,K19)</f>
        <v>25</v>
      </c>
      <c r="X37" s="248">
        <f>if(X13=1,Actuals!Z71,L19)</f>
        <v>36</v>
      </c>
      <c r="Y37" s="248">
        <f>if(Y13=1,Actuals!AA71,M19)</f>
        <v>29</v>
      </c>
      <c r="Z37" s="248">
        <f>if(Z13=1,Actuals!AB71,N19)</f>
        <v>27</v>
      </c>
      <c r="AA37" s="248">
        <f>if(AA13=1,Actuals!AC71,O19)</f>
        <v>30</v>
      </c>
      <c r="AB37" s="248">
        <f>if(AB13=1,Actuals!AD71,P19)</f>
        <v>38</v>
      </c>
      <c r="AC37" s="248">
        <f>if(AC13=1,Actuals!AE71,Q19)</f>
        <v>41</v>
      </c>
      <c r="AD37" s="248">
        <f>if(AD13=1,Actuals!AF71,R19)</f>
        <v>25</v>
      </c>
      <c r="AE37" s="248">
        <f>if(AE13=1,Actuals!AG71,S19)</f>
        <v>23</v>
      </c>
      <c r="AF37" s="248">
        <f>if(AF13=1,Actuals!AH71,T19)</f>
        <v>19</v>
      </c>
      <c r="AG37" s="248">
        <f>if(AG13=1,Actuals!AI71,U19)</f>
        <v>23</v>
      </c>
      <c r="AH37" s="248">
        <f>if(AH13=1,Actuals!AJ71,V19)</f>
        <v>17</v>
      </c>
      <c r="AI37" s="248">
        <f>if(AI13=1,Actuals!AK71,W19)</f>
        <v>16</v>
      </c>
      <c r="AJ37" s="248">
        <f>if(AJ13=1,Actuals!AL71,X19)</f>
        <v>22</v>
      </c>
      <c r="AK37" s="248">
        <f>if(AK13=1,Actuals!AM71,Y19)</f>
        <v>20</v>
      </c>
      <c r="AL37" s="248">
        <f>if(AL13=1,Actuals!AN71,Z19)</f>
        <v>13</v>
      </c>
      <c r="AM37" s="248">
        <f>if(AM13=1,Actuals!AO71,AA19)</f>
        <v>21</v>
      </c>
      <c r="AN37" s="248">
        <f>if(AN13=1,Actuals!AP71,AB19)</f>
        <v>27</v>
      </c>
      <c r="AO37" s="248">
        <f>if(AO13=1,Actuals!AQ71,AC19)</f>
        <v>23</v>
      </c>
      <c r="AP37" s="248">
        <f>if(AP13=1,Actuals!AR71,AD19)</f>
        <v>19</v>
      </c>
      <c r="AQ37" s="248">
        <f>if(AQ13=1,Actuals!AS71,AE19)</f>
        <v>19</v>
      </c>
      <c r="AR37" s="248">
        <f>if(AR13=1,Actuals!AT71,AF19)</f>
        <v>19</v>
      </c>
      <c r="AS37" s="248">
        <f>if(AS13=1,Actuals!AU71,AG19)</f>
        <v>19</v>
      </c>
      <c r="AT37" s="248">
        <f>if(AT13=1,Actuals!AV71,AH19)</f>
        <v>19</v>
      </c>
      <c r="AU37" s="248">
        <f>if(AU13=1,Actuals!AW71,AI19)</f>
        <v>19</v>
      </c>
      <c r="AV37" s="248">
        <f>if(AV13=1,Actuals!AX71,AJ19)</f>
        <v>19</v>
      </c>
      <c r="AW37" s="248">
        <f>if(AW13=1,Actuals!AY71,AK19)</f>
        <v>19</v>
      </c>
      <c r="AX37" s="248">
        <f>if(AX13=1,Actuals!AZ71,AL19)</f>
        <v>19</v>
      </c>
      <c r="AY37" s="248">
        <f>if(AY13=1,Actuals!BA71,AM19)</f>
        <v>19</v>
      </c>
      <c r="AZ37" s="248">
        <f>if(AZ13=1,Actuals!BB71,AN19)</f>
        <v>19</v>
      </c>
      <c r="BA37" s="248">
        <f>if(BA13=1,Actuals!BC71,AO19)</f>
        <v>19</v>
      </c>
      <c r="BB37" s="248">
        <f>if(BB13=1,Actuals!BD71,AP19)</f>
        <v>19</v>
      </c>
      <c r="BC37" s="248">
        <f>if(BC13=1,Actuals!BE71,AQ19)</f>
        <v>19</v>
      </c>
      <c r="BD37" s="248">
        <f>if(BD13=1,Actuals!BF71,AR19)</f>
        <v>19</v>
      </c>
      <c r="BE37" s="248">
        <f>if(BE13=1,Actuals!BG71,AS19)</f>
        <v>19</v>
      </c>
      <c r="BF37" s="248">
        <f>if(BF13=1,Actuals!BH71,AT19)</f>
        <v>19</v>
      </c>
      <c r="BG37" s="248">
        <f>if(BG13=1,Actuals!BI71,AU19)</f>
        <v>19</v>
      </c>
      <c r="BH37" s="248">
        <f>if(BH13=1,Actuals!BJ71,AV19)</f>
        <v>19</v>
      </c>
      <c r="BI37" s="248">
        <f>if(BI13=1,Actuals!BK71,AW19)</f>
        <v>19</v>
      </c>
      <c r="BJ37" s="248">
        <f>if(BJ13=1,Actuals!BL71,AX19)</f>
        <v>19</v>
      </c>
      <c r="BK37" s="248">
        <f>if(BK13=1,Actuals!BM71,AY19)</f>
        <v>19</v>
      </c>
      <c r="BL37" s="248">
        <f>if(BL13=1,Actuals!BN71,AZ19)</f>
        <v>19</v>
      </c>
      <c r="BM37" s="248">
        <f>if(BM13=1,Actuals!BO71,BA19)</f>
        <v>19</v>
      </c>
      <c r="BN37" s="248">
        <f>if(BN13=1,Actuals!BP71,BB19)</f>
        <v>19</v>
      </c>
      <c r="BO37" s="248">
        <f>if(BO13=1,Actuals!BQ71,BC19)</f>
        <v>19</v>
      </c>
      <c r="BP37" s="248">
        <f>if(BP13=1,Actuals!BR71,BD19)</f>
        <v>19</v>
      </c>
      <c r="BQ37" s="248">
        <f>if(BQ13=1,Actuals!BS71,BE19)</f>
        <v>19</v>
      </c>
      <c r="BR37" s="248">
        <f>if(BR13=1,Actuals!BT71,BF19)</f>
        <v>19</v>
      </c>
      <c r="BS37" s="248">
        <f>if(BS13=1,Actuals!BU71,BG19)</f>
        <v>19</v>
      </c>
      <c r="BT37" s="241"/>
    </row>
    <row r="38">
      <c r="A38" s="241"/>
      <c r="B38" s="279" t="str">
        <f>Summary!B38</f>
        <v>% Customer Churn</v>
      </c>
      <c r="C38" s="274"/>
      <c r="D38" s="274"/>
      <c r="E38" s="252" t="s">
        <v>38</v>
      </c>
      <c r="F38" s="275">
        <f>Summary!G38</f>
        <v>0.2561225093</v>
      </c>
      <c r="G38" s="275">
        <f>Summary!H38</f>
        <v>0.2883841517</v>
      </c>
      <c r="H38" s="275">
        <f>Summary!I38</f>
        <v>0.2872494787</v>
      </c>
      <c r="I38" s="275">
        <f>Summary!J38</f>
        <v>0.2868511861</v>
      </c>
      <c r="J38" s="275">
        <f>Summary!K38</f>
        <v>0.2868637498</v>
      </c>
      <c r="K38" s="241"/>
      <c r="L38" s="280">
        <f t="shared" ref="L38:M38" si="28">if(L13=1,-L20/L37,AVERAGE(C38:F38))</f>
        <v>0.21875</v>
      </c>
      <c r="M38" s="280">
        <f t="shared" si="28"/>
        <v>0.2682926829</v>
      </c>
      <c r="N38" s="280">
        <f t="shared" ref="N38:BS38" si="29">if(N13=1,-N20/N37,AVERAGE(D38:H38))</f>
        <v>0.2619047619</v>
      </c>
      <c r="O38" s="280">
        <f t="shared" si="29"/>
        <v>0.2592592593</v>
      </c>
      <c r="P38" s="280">
        <f t="shared" si="29"/>
        <v>0.1428571429</v>
      </c>
      <c r="Q38" s="280">
        <f t="shared" si="29"/>
        <v>0.2352941176</v>
      </c>
      <c r="R38" s="280">
        <f t="shared" si="29"/>
        <v>0.1538461538</v>
      </c>
      <c r="S38" s="280">
        <f t="shared" si="29"/>
        <v>0.3636363636</v>
      </c>
      <c r="T38" s="280">
        <f t="shared" si="29"/>
        <v>0.3333333333</v>
      </c>
      <c r="U38" s="280">
        <f t="shared" si="29"/>
        <v>0.3</v>
      </c>
      <c r="V38" s="280">
        <f t="shared" si="29"/>
        <v>0.2962962963</v>
      </c>
      <c r="W38" s="280">
        <f t="shared" si="29"/>
        <v>0.24</v>
      </c>
      <c r="X38" s="280">
        <f t="shared" si="29"/>
        <v>0.3333333333</v>
      </c>
      <c r="Y38" s="280">
        <f t="shared" si="29"/>
        <v>0.2068965517</v>
      </c>
      <c r="Z38" s="280">
        <f t="shared" si="29"/>
        <v>0.3333333333</v>
      </c>
      <c r="AA38" s="280">
        <f t="shared" si="29"/>
        <v>0.3333333333</v>
      </c>
      <c r="AB38" s="280">
        <f t="shared" si="29"/>
        <v>0.2631578947</v>
      </c>
      <c r="AC38" s="280">
        <f t="shared" si="29"/>
        <v>0.2682926829</v>
      </c>
      <c r="AD38" s="280">
        <f t="shared" si="29"/>
        <v>0.3005925926</v>
      </c>
      <c r="AE38" s="280">
        <f t="shared" si="29"/>
        <v>0.2753052363</v>
      </c>
      <c r="AF38" s="280">
        <f t="shared" si="29"/>
        <v>0.2819719029</v>
      </c>
      <c r="AG38" s="280">
        <f t="shared" si="29"/>
        <v>0.2893793103</v>
      </c>
      <c r="AH38" s="280">
        <f t="shared" si="29"/>
        <v>0.2940108893</v>
      </c>
      <c r="AI38" s="280">
        <f t="shared" si="29"/>
        <v>0.2810027592</v>
      </c>
      <c r="AJ38" s="280">
        <f t="shared" si="29"/>
        <v>0.2997419674</v>
      </c>
      <c r="AK38" s="280">
        <f t="shared" si="29"/>
        <v>0.288136348</v>
      </c>
      <c r="AL38" s="280">
        <f t="shared" si="29"/>
        <v>0.2778640619</v>
      </c>
      <c r="AM38" s="280">
        <f t="shared" si="29"/>
        <v>0.283108345</v>
      </c>
      <c r="AN38" s="280">
        <f t="shared" si="29"/>
        <v>0.2882519863</v>
      </c>
      <c r="AO38" s="280">
        <f t="shared" si="29"/>
        <v>0.2843340196</v>
      </c>
      <c r="AP38" s="280">
        <f t="shared" si="29"/>
        <v>0.2892213658</v>
      </c>
      <c r="AQ38" s="280">
        <f t="shared" si="29"/>
        <v>0.2904542548</v>
      </c>
      <c r="AR38" s="280">
        <f t="shared" si="29"/>
        <v>0.2881512052</v>
      </c>
      <c r="AS38" s="280">
        <f t="shared" si="29"/>
        <v>0.2859706963</v>
      </c>
      <c r="AT38" s="280">
        <f t="shared" si="29"/>
        <v>0.2874205417</v>
      </c>
      <c r="AU38" s="280">
        <f t="shared" si="29"/>
        <v>0.2843389522</v>
      </c>
      <c r="AV38" s="280">
        <f t="shared" si="29"/>
        <v>0.2845559557</v>
      </c>
      <c r="AW38" s="280">
        <f t="shared" si="29"/>
        <v>0.2870739943</v>
      </c>
      <c r="AX38" s="280">
        <f t="shared" si="29"/>
        <v>0.2880825663</v>
      </c>
      <c r="AY38" s="280">
        <f t="shared" si="29"/>
        <v>0.2876263083</v>
      </c>
      <c r="AZ38" s="280">
        <f t="shared" si="29"/>
        <v>0.2882436128</v>
      </c>
      <c r="BA38" s="280">
        <f t="shared" si="29"/>
        <v>0.28726713</v>
      </c>
      <c r="BB38" s="280">
        <f t="shared" si="29"/>
        <v>0.2860874702</v>
      </c>
      <c r="BC38" s="280">
        <f t="shared" si="29"/>
        <v>0.285872028</v>
      </c>
      <c r="BD38" s="280">
        <f t="shared" si="29"/>
        <v>0.2862944021</v>
      </c>
      <c r="BE38" s="280">
        <f t="shared" si="29"/>
        <v>0.2863355554</v>
      </c>
      <c r="BF38" s="280">
        <f t="shared" si="29"/>
        <v>0.2871164875</v>
      </c>
      <c r="BG38" s="280">
        <f t="shared" si="29"/>
        <v>0.2876587224</v>
      </c>
      <c r="BH38" s="280">
        <f t="shared" si="29"/>
        <v>0.2874614175</v>
      </c>
      <c r="BI38" s="280">
        <f t="shared" si="29"/>
        <v>0.2870193099</v>
      </c>
      <c r="BJ38" s="280">
        <f t="shared" si="29"/>
        <v>0.2867529286</v>
      </c>
      <c r="BK38" s="280">
        <f t="shared" si="29"/>
        <v>0.2863713171</v>
      </c>
      <c r="BL38" s="280">
        <f t="shared" si="29"/>
        <v>0.2863411886</v>
      </c>
      <c r="BM38" s="280">
        <f t="shared" si="29"/>
        <v>0.2866554391</v>
      </c>
      <c r="BN38" s="280">
        <f t="shared" si="29"/>
        <v>0.286973317</v>
      </c>
      <c r="BO38" s="280">
        <f t="shared" si="29"/>
        <v>0.2871182985</v>
      </c>
      <c r="BP38" s="280">
        <f t="shared" si="29"/>
        <v>0.2872017732</v>
      </c>
      <c r="BQ38" s="280">
        <f t="shared" si="29"/>
        <v>0.2870527391</v>
      </c>
      <c r="BR38" s="280">
        <f t="shared" si="29"/>
        <v>0.2867892324</v>
      </c>
      <c r="BS38" s="280">
        <f t="shared" si="29"/>
        <v>0.2866280367</v>
      </c>
      <c r="BT38" s="241"/>
    </row>
    <row r="39">
      <c r="A39" s="241"/>
      <c r="B39" s="241"/>
      <c r="C39" s="241"/>
      <c r="D39" s="241"/>
      <c r="E39" s="241"/>
      <c r="F39" s="241"/>
      <c r="G39" s="241"/>
      <c r="H39" s="241"/>
      <c r="I39" s="241"/>
      <c r="J39" s="241"/>
      <c r="K39" s="241"/>
      <c r="L39" s="241"/>
      <c r="M39" s="241"/>
      <c r="N39" s="241"/>
      <c r="O39" s="241"/>
      <c r="P39" s="241"/>
      <c r="Q39" s="241"/>
      <c r="R39" s="241"/>
      <c r="S39" s="241"/>
      <c r="T39" s="241"/>
      <c r="U39" s="241"/>
      <c r="V39" s="241"/>
      <c r="W39" s="241"/>
      <c r="X39" s="241"/>
      <c r="Y39" s="241"/>
      <c r="Z39" s="241"/>
      <c r="AA39" s="241"/>
      <c r="AB39" s="241"/>
      <c r="AC39" s="241"/>
      <c r="AD39" s="241"/>
      <c r="AE39" s="241"/>
      <c r="AF39" s="241"/>
      <c r="AG39" s="241"/>
      <c r="AH39" s="241"/>
      <c r="AI39" s="241"/>
      <c r="AJ39" s="241"/>
      <c r="AK39" s="241"/>
      <c r="AL39" s="241"/>
      <c r="AM39" s="241"/>
      <c r="AN39" s="241"/>
      <c r="AO39" s="241"/>
      <c r="AP39" s="241"/>
      <c r="AQ39" s="241"/>
      <c r="AR39" s="241"/>
      <c r="AS39" s="241"/>
      <c r="AT39" s="241"/>
      <c r="AU39" s="241"/>
      <c r="AV39" s="241"/>
      <c r="AW39" s="241"/>
      <c r="AX39" s="241"/>
      <c r="AY39" s="241"/>
      <c r="AZ39" s="241"/>
      <c r="BA39" s="241"/>
      <c r="BB39" s="241"/>
      <c r="BC39" s="241"/>
      <c r="BD39" s="241"/>
      <c r="BE39" s="241"/>
      <c r="BF39" s="241"/>
      <c r="BG39" s="241"/>
      <c r="BH39" s="241"/>
      <c r="BI39" s="241"/>
      <c r="BJ39" s="241"/>
      <c r="BK39" s="241"/>
      <c r="BL39" s="241"/>
      <c r="BM39" s="241"/>
      <c r="BN39" s="241"/>
      <c r="BO39" s="241"/>
      <c r="BP39" s="241"/>
      <c r="BQ39" s="241"/>
      <c r="BR39" s="241"/>
      <c r="BS39" s="241"/>
      <c r="BT39" s="241"/>
    </row>
    <row r="40">
      <c r="A40" s="241"/>
      <c r="B40" s="241"/>
      <c r="C40" s="241"/>
      <c r="D40" s="241"/>
      <c r="E40" s="241"/>
      <c r="F40" s="241"/>
      <c r="G40" s="241"/>
      <c r="H40" s="241"/>
      <c r="I40" s="241"/>
      <c r="J40" s="241"/>
      <c r="K40" s="241"/>
      <c r="L40" s="241"/>
      <c r="M40" s="241"/>
      <c r="N40" s="241"/>
      <c r="O40" s="241"/>
      <c r="P40" s="241"/>
      <c r="Q40" s="241"/>
      <c r="R40" s="241"/>
      <c r="S40" s="241"/>
      <c r="T40" s="241"/>
      <c r="U40" s="241"/>
      <c r="V40" s="241"/>
      <c r="W40" s="241"/>
      <c r="X40" s="241"/>
      <c r="Y40" s="241"/>
      <c r="Z40" s="241"/>
      <c r="AA40" s="241"/>
      <c r="AB40" s="241"/>
      <c r="AC40" s="241"/>
      <c r="AD40" s="241"/>
      <c r="AE40" s="241"/>
      <c r="AF40" s="241"/>
      <c r="AG40" s="241"/>
      <c r="AH40" s="241"/>
      <c r="AI40" s="241"/>
      <c r="AJ40" s="241"/>
      <c r="AK40" s="241"/>
      <c r="AL40" s="241"/>
      <c r="AM40" s="241"/>
      <c r="AN40" s="241"/>
      <c r="AO40" s="241"/>
      <c r="AP40" s="241"/>
      <c r="AQ40" s="241"/>
      <c r="AR40" s="241"/>
      <c r="AS40" s="241"/>
      <c r="AT40" s="241"/>
      <c r="AU40" s="241"/>
      <c r="AV40" s="241"/>
      <c r="AW40" s="241"/>
      <c r="AX40" s="241"/>
      <c r="AY40" s="241"/>
      <c r="AZ40" s="241"/>
      <c r="BA40" s="241"/>
      <c r="BB40" s="241"/>
      <c r="BC40" s="241"/>
      <c r="BD40" s="241"/>
      <c r="BE40" s="241"/>
      <c r="BF40" s="241"/>
      <c r="BG40" s="241"/>
      <c r="BH40" s="241"/>
      <c r="BI40" s="241"/>
      <c r="BJ40" s="241"/>
      <c r="BK40" s="241"/>
      <c r="BL40" s="241"/>
      <c r="BM40" s="241"/>
      <c r="BN40" s="241"/>
      <c r="BO40" s="241"/>
      <c r="BP40" s="241"/>
      <c r="BQ40" s="241"/>
      <c r="BR40" s="241"/>
      <c r="BS40" s="241"/>
      <c r="BT40" s="241"/>
    </row>
    <row r="41">
      <c r="A41" s="241"/>
      <c r="B41" s="241"/>
      <c r="C41" s="241"/>
      <c r="D41" s="241"/>
      <c r="E41" s="241"/>
      <c r="F41" s="241"/>
      <c r="G41" s="241"/>
      <c r="H41" s="241"/>
      <c r="I41" s="241"/>
      <c r="J41" s="241"/>
      <c r="K41" s="241"/>
      <c r="L41" s="241"/>
      <c r="M41" s="241"/>
      <c r="N41" s="241"/>
      <c r="O41" s="241"/>
      <c r="P41" s="241"/>
      <c r="Q41" s="241"/>
      <c r="R41" s="241"/>
      <c r="S41" s="241"/>
      <c r="T41" s="241"/>
      <c r="U41" s="241"/>
      <c r="V41" s="241"/>
      <c r="W41" s="241"/>
      <c r="X41" s="241"/>
      <c r="Y41" s="241"/>
      <c r="Z41" s="241"/>
      <c r="AA41" s="241"/>
      <c r="AB41" s="241"/>
      <c r="AC41" s="241"/>
      <c r="AD41" s="241"/>
      <c r="AE41" s="241"/>
      <c r="AF41" s="241"/>
      <c r="AG41" s="241"/>
      <c r="AH41" s="241"/>
      <c r="AI41" s="241"/>
      <c r="AJ41" s="241"/>
      <c r="AK41" s="241"/>
      <c r="AL41" s="241"/>
      <c r="AM41" s="241"/>
      <c r="AN41" s="241"/>
      <c r="AO41" s="241"/>
      <c r="AP41" s="241"/>
      <c r="AQ41" s="241"/>
      <c r="AR41" s="241"/>
      <c r="AS41" s="241"/>
      <c r="AT41" s="241"/>
      <c r="AU41" s="241"/>
      <c r="AV41" s="241"/>
      <c r="AW41" s="241"/>
      <c r="AX41" s="241"/>
      <c r="AY41" s="241"/>
      <c r="AZ41" s="241"/>
      <c r="BA41" s="241"/>
      <c r="BB41" s="241"/>
      <c r="BC41" s="241"/>
      <c r="BD41" s="241"/>
      <c r="BE41" s="241"/>
      <c r="BF41" s="241"/>
      <c r="BG41" s="241"/>
      <c r="BH41" s="241"/>
      <c r="BI41" s="241"/>
      <c r="BJ41" s="241"/>
      <c r="BK41" s="241"/>
      <c r="BL41" s="241"/>
      <c r="BM41" s="241"/>
      <c r="BN41" s="241"/>
      <c r="BO41" s="241"/>
      <c r="BP41" s="241"/>
      <c r="BQ41" s="241"/>
      <c r="BR41" s="241"/>
      <c r="BS41" s="241"/>
      <c r="BT41" s="241"/>
    </row>
    <row r="42">
      <c r="A42" s="241"/>
      <c r="B42" s="241"/>
      <c r="C42" s="241"/>
      <c r="D42" s="241"/>
      <c r="E42" s="241"/>
      <c r="F42" s="241"/>
      <c r="G42" s="241"/>
      <c r="H42" s="241"/>
      <c r="I42" s="241"/>
      <c r="J42" s="241"/>
      <c r="K42" s="241"/>
      <c r="L42" s="241"/>
      <c r="M42" s="241"/>
      <c r="N42" s="241"/>
      <c r="O42" s="241"/>
      <c r="P42" s="241"/>
      <c r="Q42" s="241"/>
      <c r="R42" s="241"/>
      <c r="S42" s="241"/>
      <c r="T42" s="241"/>
      <c r="U42" s="241"/>
      <c r="V42" s="241"/>
      <c r="W42" s="241"/>
      <c r="X42" s="241"/>
      <c r="Y42" s="241"/>
      <c r="Z42" s="241"/>
      <c r="AA42" s="241"/>
      <c r="AB42" s="241"/>
      <c r="AC42" s="241"/>
      <c r="AD42" s="241"/>
      <c r="AE42" s="241"/>
      <c r="AF42" s="241"/>
      <c r="AG42" s="241"/>
      <c r="AH42" s="241"/>
      <c r="AI42" s="241"/>
      <c r="AJ42" s="241"/>
      <c r="AK42" s="241"/>
      <c r="AL42" s="241"/>
      <c r="AM42" s="241"/>
      <c r="AN42" s="241"/>
      <c r="AO42" s="241"/>
      <c r="AP42" s="241"/>
      <c r="AQ42" s="241"/>
      <c r="AR42" s="241"/>
      <c r="AS42" s="241"/>
      <c r="AT42" s="241"/>
      <c r="AU42" s="241"/>
      <c r="AV42" s="241"/>
      <c r="AW42" s="241"/>
      <c r="AX42" s="241"/>
      <c r="AY42" s="241"/>
      <c r="AZ42" s="241"/>
      <c r="BA42" s="241"/>
      <c r="BB42" s="241"/>
      <c r="BC42" s="241"/>
      <c r="BD42" s="241"/>
      <c r="BE42" s="241"/>
      <c r="BF42" s="241"/>
      <c r="BG42" s="241"/>
      <c r="BH42" s="241"/>
      <c r="BI42" s="241"/>
      <c r="BJ42" s="241"/>
      <c r="BK42" s="241"/>
      <c r="BL42" s="241"/>
      <c r="BM42" s="241"/>
      <c r="BN42" s="241"/>
      <c r="BO42" s="241"/>
      <c r="BP42" s="241"/>
      <c r="BQ42" s="241"/>
      <c r="BR42" s="241"/>
      <c r="BS42" s="241"/>
      <c r="BT42" s="241"/>
    </row>
    <row r="43">
      <c r="A43" s="241"/>
      <c r="B43" s="241"/>
      <c r="C43" s="241"/>
      <c r="D43" s="241"/>
      <c r="E43" s="241"/>
      <c r="F43" s="241"/>
      <c r="G43" s="241"/>
      <c r="H43" s="241"/>
      <c r="I43" s="241"/>
      <c r="J43" s="241"/>
      <c r="K43" s="241"/>
      <c r="L43" s="241"/>
      <c r="M43" s="241"/>
      <c r="N43" s="241"/>
      <c r="O43" s="241"/>
      <c r="P43" s="241"/>
      <c r="Q43" s="241"/>
      <c r="R43" s="241"/>
      <c r="S43" s="241"/>
      <c r="T43" s="241"/>
      <c r="U43" s="241"/>
      <c r="V43" s="241"/>
      <c r="W43" s="241"/>
      <c r="X43" s="241"/>
      <c r="Y43" s="241"/>
      <c r="Z43" s="241"/>
      <c r="AA43" s="241"/>
      <c r="AB43" s="241"/>
      <c r="AC43" s="241"/>
      <c r="AD43" s="241"/>
      <c r="AE43" s="241"/>
      <c r="AF43" s="241"/>
      <c r="AG43" s="241"/>
      <c r="AH43" s="241"/>
      <c r="AI43" s="241"/>
      <c r="AJ43" s="241"/>
      <c r="AK43" s="241"/>
      <c r="AL43" s="241"/>
      <c r="AM43" s="241"/>
      <c r="AN43" s="241"/>
      <c r="AO43" s="241"/>
      <c r="AP43" s="241"/>
      <c r="AQ43" s="241"/>
      <c r="AR43" s="241"/>
      <c r="AS43" s="241"/>
      <c r="AT43" s="241"/>
      <c r="AU43" s="241"/>
      <c r="AV43" s="241"/>
      <c r="AW43" s="241"/>
      <c r="AX43" s="241"/>
      <c r="AY43" s="241"/>
      <c r="AZ43" s="241"/>
      <c r="BA43" s="241"/>
      <c r="BB43" s="241"/>
      <c r="BC43" s="241"/>
      <c r="BD43" s="241"/>
      <c r="BE43" s="241"/>
      <c r="BF43" s="241"/>
      <c r="BG43" s="241"/>
      <c r="BH43" s="241"/>
      <c r="BI43" s="241"/>
      <c r="BJ43" s="241"/>
      <c r="BK43" s="241"/>
      <c r="BL43" s="241"/>
      <c r="BM43" s="241"/>
      <c r="BN43" s="241"/>
      <c r="BO43" s="241"/>
      <c r="BP43" s="241"/>
      <c r="BQ43" s="241"/>
      <c r="BR43" s="241"/>
      <c r="BS43" s="241"/>
      <c r="BT43" s="241"/>
    </row>
    <row r="44">
      <c r="A44" s="241"/>
      <c r="B44" s="241"/>
      <c r="C44" s="241"/>
      <c r="D44" s="241"/>
      <c r="E44" s="241"/>
      <c r="F44" s="241"/>
      <c r="G44" s="241"/>
      <c r="H44" s="241"/>
      <c r="I44" s="241"/>
      <c r="J44" s="241"/>
      <c r="K44" s="241"/>
      <c r="L44" s="241"/>
      <c r="M44" s="241"/>
      <c r="N44" s="241"/>
      <c r="O44" s="241"/>
      <c r="P44" s="241"/>
      <c r="Q44" s="241"/>
      <c r="R44" s="241"/>
      <c r="S44" s="241"/>
      <c r="T44" s="241"/>
      <c r="U44" s="241"/>
      <c r="V44" s="241"/>
      <c r="W44" s="241"/>
      <c r="X44" s="241"/>
      <c r="Y44" s="241"/>
      <c r="Z44" s="241"/>
      <c r="AA44" s="241"/>
      <c r="AB44" s="241"/>
      <c r="AC44" s="241"/>
      <c r="AD44" s="241"/>
      <c r="AE44" s="241"/>
      <c r="AF44" s="241"/>
      <c r="AG44" s="241"/>
      <c r="AH44" s="241"/>
      <c r="AI44" s="241"/>
      <c r="AJ44" s="241"/>
      <c r="AK44" s="241"/>
      <c r="AL44" s="241"/>
      <c r="AM44" s="241"/>
      <c r="AN44" s="241"/>
      <c r="AO44" s="241"/>
      <c r="AP44" s="241"/>
      <c r="AQ44" s="241"/>
      <c r="AR44" s="241"/>
      <c r="AS44" s="241"/>
      <c r="AT44" s="241"/>
      <c r="AU44" s="241"/>
      <c r="AV44" s="241"/>
      <c r="AW44" s="241"/>
      <c r="AX44" s="241"/>
      <c r="AY44" s="241"/>
      <c r="AZ44" s="241"/>
      <c r="BA44" s="241"/>
      <c r="BB44" s="241"/>
      <c r="BC44" s="241"/>
      <c r="BD44" s="241"/>
      <c r="BE44" s="241"/>
      <c r="BF44" s="241"/>
      <c r="BG44" s="241"/>
      <c r="BH44" s="241"/>
      <c r="BI44" s="241"/>
      <c r="BJ44" s="241"/>
      <c r="BK44" s="241"/>
      <c r="BL44" s="241"/>
      <c r="BM44" s="241"/>
      <c r="BN44" s="241"/>
      <c r="BO44" s="241"/>
      <c r="BP44" s="241"/>
      <c r="BQ44" s="241"/>
      <c r="BR44" s="241"/>
      <c r="BS44" s="241"/>
      <c r="BT44" s="24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outlineLevelRow="1"/>
  <cols>
    <col customWidth="1" min="1" max="1" width="3.75"/>
    <col customWidth="1" min="3" max="3" width="8.63"/>
    <col customWidth="1" min="9" max="9" width="10.25"/>
    <col customWidth="1" min="16" max="16" width="5.0"/>
  </cols>
  <sheetData>
    <row r="1" ht="11.25" customHeight="1">
      <c r="A1" s="281"/>
      <c r="B1" s="281"/>
      <c r="C1" s="281"/>
      <c r="D1" s="281"/>
      <c r="E1" s="281"/>
      <c r="F1" s="281"/>
      <c r="G1" s="281"/>
      <c r="H1" s="281"/>
      <c r="I1" s="281"/>
      <c r="J1" s="281"/>
      <c r="K1" s="281"/>
      <c r="L1" s="281"/>
      <c r="M1" s="281"/>
      <c r="N1" s="281"/>
      <c r="O1" s="281"/>
      <c r="P1" s="281"/>
    </row>
    <row r="2" ht="11.25" customHeight="1">
      <c r="A2" s="281"/>
      <c r="B2" s="281"/>
      <c r="C2" s="281"/>
      <c r="D2" s="281"/>
      <c r="E2" s="281"/>
      <c r="F2" s="281"/>
      <c r="G2" s="281"/>
      <c r="H2" s="281"/>
      <c r="I2" s="281"/>
      <c r="J2" s="281"/>
      <c r="K2" s="281"/>
      <c r="L2" s="281"/>
      <c r="M2" s="281"/>
      <c r="N2" s="281"/>
      <c r="O2" s="281"/>
      <c r="P2" s="281"/>
    </row>
    <row r="3" ht="11.25" customHeight="1">
      <c r="A3" s="281"/>
      <c r="B3" s="281"/>
      <c r="C3" s="281"/>
      <c r="D3" s="281"/>
      <c r="E3" s="281"/>
      <c r="F3" s="281"/>
      <c r="G3" s="281"/>
      <c r="H3" s="281"/>
      <c r="I3" s="281"/>
      <c r="J3" s="281"/>
      <c r="K3" s="281"/>
      <c r="L3" s="281"/>
      <c r="M3" s="281"/>
      <c r="N3" s="281"/>
      <c r="O3" s="281"/>
      <c r="P3" s="281"/>
    </row>
    <row r="4" ht="11.25" customHeight="1">
      <c r="A4" s="281"/>
      <c r="B4" s="282" t="s">
        <v>71</v>
      </c>
      <c r="C4" s="283"/>
      <c r="D4" s="283" t="str">
        <f>"FY"&amp;right('P&amp;L'!G10,2)</f>
        <v>FY22</v>
      </c>
      <c r="E4" s="283" t="str">
        <f>"FY"&amp;right('P&amp;L'!H10,2)</f>
        <v>FY23</v>
      </c>
      <c r="F4" s="283" t="str">
        <f>"FY"&amp;right('P&amp;L'!I10,2)</f>
        <v>FY24</v>
      </c>
      <c r="G4" s="283" t="str">
        <f>"FY"&amp;right('P&amp;L'!J10,2)</f>
        <v>FY25</v>
      </c>
      <c r="H4" s="283" t="str">
        <f>"FY"&amp;right('P&amp;L'!K10,2)</f>
        <v>FY26</v>
      </c>
      <c r="I4" s="281"/>
      <c r="J4" s="281"/>
      <c r="K4" s="281"/>
      <c r="L4" s="281"/>
      <c r="M4" s="281"/>
      <c r="N4" s="281"/>
      <c r="O4" s="281"/>
      <c r="P4" s="281"/>
    </row>
    <row r="5" ht="11.25" customHeight="1">
      <c r="A5" s="281"/>
      <c r="B5" s="281" t="str">
        <f>'P&amp;L'!B19</f>
        <v>Revenue</v>
      </c>
      <c r="C5" s="281" t="str">
        <f>'P&amp;L'!C19</f>
        <v/>
      </c>
      <c r="D5" s="284">
        <f>'P&amp;L'!G19</f>
        <v>14794.62169</v>
      </c>
      <c r="E5" s="284">
        <f>'P&amp;L'!H19</f>
        <v>20075.87895</v>
      </c>
      <c r="F5" s="284">
        <f>'P&amp;L'!I19</f>
        <v>26528.88974</v>
      </c>
      <c r="G5" s="284">
        <f>'P&amp;L'!J19</f>
        <v>33296.57703</v>
      </c>
      <c r="H5" s="284">
        <f>'P&amp;L'!K19</f>
        <v>40094.11538</v>
      </c>
      <c r="I5" s="281"/>
      <c r="J5" s="281"/>
      <c r="K5" s="281"/>
      <c r="L5" s="281"/>
      <c r="M5" s="281"/>
      <c r="N5" s="281"/>
      <c r="O5" s="281"/>
      <c r="P5" s="281"/>
    </row>
    <row r="6" ht="11.25" customHeight="1">
      <c r="A6" s="281"/>
      <c r="B6" s="281" t="str">
        <f>'P&amp;L'!B22</f>
        <v>COGS</v>
      </c>
      <c r="C6" s="281" t="str">
        <f>'P&amp;L'!C22</f>
        <v/>
      </c>
      <c r="D6" s="284">
        <f>'P&amp;L'!G22</f>
        <v>-2654.7948</v>
      </c>
      <c r="E6" s="284">
        <f>'P&amp;L'!H22</f>
        <v>-3646.474205</v>
      </c>
      <c r="F6" s="284">
        <f>'P&amp;L'!I22</f>
        <v>-5305.777948</v>
      </c>
      <c r="G6" s="284">
        <f>'P&amp;L'!J22</f>
        <v>-6659.315406</v>
      </c>
      <c r="H6" s="284">
        <f>'P&amp;L'!K22</f>
        <v>-8018.823076</v>
      </c>
      <c r="I6" s="281"/>
      <c r="J6" s="281"/>
      <c r="K6" s="281"/>
      <c r="L6" s="281"/>
      <c r="M6" s="281"/>
      <c r="N6" s="281"/>
      <c r="O6" s="281"/>
      <c r="P6" s="281"/>
    </row>
    <row r="7" ht="11.25" customHeight="1">
      <c r="A7" s="281"/>
      <c r="B7" s="285" t="str">
        <f>'P&amp;L'!B23</f>
        <v>Gross Profit</v>
      </c>
      <c r="C7" s="285" t="str">
        <f>'P&amp;L'!C23</f>
        <v/>
      </c>
      <c r="D7" s="286">
        <f>'P&amp;L'!G23</f>
        <v>12139.82689</v>
      </c>
      <c r="E7" s="286">
        <f>'P&amp;L'!H23</f>
        <v>16429.40475</v>
      </c>
      <c r="F7" s="286">
        <f>'P&amp;L'!I23</f>
        <v>21223.11179</v>
      </c>
      <c r="G7" s="286">
        <f>'P&amp;L'!J23</f>
        <v>26637.26162</v>
      </c>
      <c r="H7" s="286">
        <f>'P&amp;L'!K23</f>
        <v>32075.2923</v>
      </c>
      <c r="I7" s="281"/>
      <c r="J7" s="281"/>
      <c r="K7" s="281"/>
      <c r="L7" s="281"/>
      <c r="M7" s="281"/>
      <c r="N7" s="281"/>
      <c r="O7" s="281"/>
      <c r="P7" s="281"/>
    </row>
    <row r="8" ht="11.25" customHeight="1">
      <c r="A8" s="281"/>
      <c r="B8" s="281"/>
      <c r="C8" s="281"/>
      <c r="D8" s="287"/>
      <c r="E8" s="287"/>
      <c r="F8" s="287"/>
      <c r="G8" s="287"/>
      <c r="H8" s="287"/>
      <c r="I8" s="281"/>
      <c r="J8" s="281"/>
      <c r="K8" s="281"/>
      <c r="L8" s="281"/>
      <c r="M8" s="281"/>
      <c r="N8" s="281"/>
      <c r="O8" s="281"/>
      <c r="P8" s="281"/>
    </row>
    <row r="9" ht="11.25" customHeight="1">
      <c r="A9" s="281"/>
      <c r="B9" s="281" t="str">
        <f>'P&amp;L'!B27</f>
        <v>G&amp;A</v>
      </c>
      <c r="C9" s="281"/>
      <c r="D9" s="284">
        <f>-'P&amp;L'!G27</f>
        <v>-3000</v>
      </c>
      <c r="E9" s="284">
        <f>-'P&amp;L'!H27</f>
        <v>-3031.0539</v>
      </c>
      <c r="F9" s="284">
        <f>-'P&amp;L'!I27</f>
        <v>-3089.791154</v>
      </c>
      <c r="G9" s="284">
        <f>-'P&amp;L'!J27</f>
        <v>-3127.073255</v>
      </c>
      <c r="H9" s="284">
        <f>-'P&amp;L'!K27</f>
        <v>-3164.805211</v>
      </c>
      <c r="I9" s="281"/>
      <c r="J9" s="281"/>
      <c r="K9" s="281"/>
      <c r="L9" s="281"/>
      <c r="M9" s="281"/>
      <c r="N9" s="281"/>
      <c r="O9" s="281"/>
      <c r="P9" s="281"/>
    </row>
    <row r="10" ht="11.25" customHeight="1">
      <c r="A10" s="281"/>
      <c r="B10" s="281" t="str">
        <f>'P&amp;L'!B28</f>
        <v>S&amp;M</v>
      </c>
      <c r="C10" s="281"/>
      <c r="D10" s="284">
        <f>-'P&amp;L'!G28</f>
        <v>-7200</v>
      </c>
      <c r="E10" s="284">
        <f>-'P&amp;L'!H28</f>
        <v>-7274.52936</v>
      </c>
      <c r="F10" s="284">
        <f>-'P&amp;L'!I28</f>
        <v>-7415.498769</v>
      </c>
      <c r="G10" s="284">
        <f>-'P&amp;L'!J28</f>
        <v>-7504.975812</v>
      </c>
      <c r="H10" s="284">
        <f>-'P&amp;L'!K28</f>
        <v>-7595.532505</v>
      </c>
      <c r="I10" s="281"/>
      <c r="J10" s="281"/>
      <c r="K10" s="281"/>
      <c r="L10" s="281"/>
      <c r="M10" s="281"/>
      <c r="N10" s="281"/>
      <c r="O10" s="281"/>
      <c r="P10" s="281"/>
    </row>
    <row r="11" ht="11.25" customHeight="1">
      <c r="A11" s="281"/>
      <c r="B11" s="281" t="str">
        <f>'P&amp;L'!B29</f>
        <v>R&amp;D</v>
      </c>
      <c r="C11" s="281"/>
      <c r="D11" s="284">
        <f>-'P&amp;L'!G29</f>
        <v>-4800</v>
      </c>
      <c r="E11" s="284">
        <f>-'P&amp;L'!H29</f>
        <v>-4849.68624</v>
      </c>
      <c r="F11" s="284">
        <f>-'P&amp;L'!I29</f>
        <v>-4943.665846</v>
      </c>
      <c r="G11" s="284">
        <f>-'P&amp;L'!J29</f>
        <v>-5003.317208</v>
      </c>
      <c r="H11" s="284">
        <f>-'P&amp;L'!K29</f>
        <v>-5063.688337</v>
      </c>
      <c r="I11" s="281"/>
      <c r="J11" s="281"/>
      <c r="K11" s="281"/>
      <c r="L11" s="281"/>
      <c r="M11" s="281"/>
      <c r="N11" s="281"/>
      <c r="O11" s="281"/>
      <c r="P11" s="281"/>
    </row>
    <row r="12" ht="11.25" customHeight="1">
      <c r="A12" s="281"/>
      <c r="B12" s="285" t="str">
        <f>'P&amp;L'!B30</f>
        <v>Total Operating Expenses</v>
      </c>
      <c r="C12" s="288"/>
      <c r="D12" s="286">
        <f>'P&amp;L'!G30</f>
        <v>15000</v>
      </c>
      <c r="E12" s="286">
        <f>'P&amp;L'!H30</f>
        <v>15155.2695</v>
      </c>
      <c r="F12" s="286">
        <f>'P&amp;L'!I30</f>
        <v>15448.95577</v>
      </c>
      <c r="G12" s="286">
        <f>'P&amp;L'!J30</f>
        <v>15635.36628</v>
      </c>
      <c r="H12" s="286">
        <f>'P&amp;L'!K30</f>
        <v>15824.02605</v>
      </c>
      <c r="I12" s="281"/>
      <c r="J12" s="281"/>
      <c r="K12" s="281"/>
      <c r="L12" s="281"/>
      <c r="M12" s="281"/>
      <c r="N12" s="281"/>
      <c r="O12" s="281"/>
      <c r="P12" s="281"/>
    </row>
    <row r="13" ht="11.25" customHeight="1">
      <c r="A13" s="281"/>
      <c r="B13" s="281"/>
      <c r="C13" s="281"/>
      <c r="D13" s="281"/>
      <c r="E13" s="281"/>
      <c r="F13" s="281"/>
      <c r="G13" s="281"/>
      <c r="H13" s="281"/>
      <c r="I13" s="281"/>
      <c r="J13" s="281"/>
      <c r="K13" s="281"/>
      <c r="L13" s="281"/>
      <c r="M13" s="281"/>
      <c r="N13" s="281"/>
      <c r="O13" s="281"/>
      <c r="P13" s="281"/>
    </row>
    <row r="14" ht="11.25" customHeight="1">
      <c r="A14" s="281"/>
      <c r="B14" s="289" t="str">
        <f>'P&amp;L'!B32</f>
        <v>EBITDA</v>
      </c>
      <c r="C14" s="289"/>
      <c r="D14" s="290">
        <f>'P&amp;L'!G32</f>
        <v>-2860.173113</v>
      </c>
      <c r="E14" s="290">
        <f>'P&amp;L'!H32</f>
        <v>1274.135248</v>
      </c>
      <c r="F14" s="290">
        <f>'P&amp;L'!I32</f>
        <v>5774.156023</v>
      </c>
      <c r="G14" s="290">
        <f>'P&amp;L'!J32</f>
        <v>11001.89535</v>
      </c>
      <c r="H14" s="290">
        <f>'P&amp;L'!K32</f>
        <v>16251.26625</v>
      </c>
      <c r="I14" s="281"/>
      <c r="J14" s="281"/>
      <c r="K14" s="281"/>
      <c r="L14" s="281"/>
      <c r="M14" s="281"/>
      <c r="N14" s="281"/>
      <c r="O14" s="281"/>
      <c r="P14" s="281"/>
    </row>
    <row r="15" ht="11.25" customHeight="1">
      <c r="A15" s="281"/>
      <c r="B15" s="291" t="str">
        <f>'P&amp;L'!B33</f>
        <v>EBITDA Margin</v>
      </c>
      <c r="C15" s="291"/>
      <c r="D15" s="292">
        <f>'P&amp;L'!G33</f>
        <v>-0.1933251943</v>
      </c>
      <c r="E15" s="292">
        <f>'P&amp;L'!H33</f>
        <v>0.06346597583</v>
      </c>
      <c r="F15" s="292">
        <f>'P&amp;L'!I33</f>
        <v>0.2176553968</v>
      </c>
      <c r="G15" s="292">
        <f>'P&amp;L'!J33</f>
        <v>0.3304212123</v>
      </c>
      <c r="H15" s="292">
        <f>'P&amp;L'!K33</f>
        <v>0.4053279664</v>
      </c>
      <c r="I15" s="281"/>
      <c r="J15" s="281"/>
      <c r="K15" s="281"/>
      <c r="L15" s="281"/>
      <c r="M15" s="281"/>
      <c r="N15" s="281"/>
      <c r="O15" s="281"/>
      <c r="P15" s="281"/>
    </row>
    <row r="16" ht="11.25" customHeight="1">
      <c r="A16" s="281"/>
      <c r="B16" s="281"/>
      <c r="C16" s="281"/>
      <c r="D16" s="281"/>
      <c r="E16" s="281"/>
      <c r="F16" s="281"/>
      <c r="G16" s="281"/>
      <c r="H16" s="281"/>
      <c r="I16" s="281"/>
      <c r="J16" s="281"/>
      <c r="K16" s="281"/>
      <c r="L16" s="281"/>
      <c r="M16" s="281"/>
      <c r="N16" s="281"/>
      <c r="O16" s="281"/>
      <c r="P16" s="281"/>
    </row>
    <row r="17" ht="11.25" customHeight="1">
      <c r="A17" s="281"/>
      <c r="B17" s="281"/>
      <c r="C17" s="281"/>
      <c r="D17" s="281"/>
      <c r="E17" s="281"/>
      <c r="F17" s="281"/>
      <c r="G17" s="281"/>
      <c r="H17" s="281"/>
      <c r="I17" s="281"/>
      <c r="J17" s="281"/>
      <c r="K17" s="281"/>
      <c r="L17" s="281"/>
      <c r="M17" s="281"/>
      <c r="N17" s="281"/>
      <c r="O17" s="281"/>
      <c r="P17" s="281"/>
    </row>
    <row r="18" ht="11.25" customHeight="1">
      <c r="A18" s="281"/>
      <c r="B18" s="281"/>
      <c r="C18" s="281"/>
      <c r="D18" s="281"/>
      <c r="E18" s="281"/>
      <c r="F18" s="281"/>
      <c r="G18" s="281"/>
      <c r="H18" s="281"/>
      <c r="I18" s="281"/>
      <c r="J18" s="281"/>
      <c r="K18" s="281"/>
      <c r="L18" s="281"/>
      <c r="M18" s="281"/>
      <c r="N18" s="281"/>
      <c r="O18" s="281"/>
      <c r="P18" s="281"/>
    </row>
    <row r="19" ht="11.25" customHeight="1">
      <c r="A19" s="281"/>
      <c r="B19" s="281"/>
      <c r="C19" s="281"/>
      <c r="D19" s="281"/>
      <c r="E19" s="281"/>
      <c r="F19" s="281"/>
      <c r="G19" s="281"/>
      <c r="H19" s="281"/>
      <c r="I19" s="281"/>
      <c r="J19" s="281"/>
      <c r="K19" s="281"/>
      <c r="L19" s="281"/>
      <c r="M19" s="281"/>
      <c r="N19" s="281"/>
      <c r="O19" s="281"/>
      <c r="P19" s="281"/>
    </row>
    <row r="20" ht="11.25" customHeight="1">
      <c r="A20" s="281"/>
      <c r="B20" s="281"/>
      <c r="C20" s="281"/>
      <c r="D20" s="281"/>
      <c r="E20" s="281"/>
      <c r="F20" s="281"/>
      <c r="G20" s="281"/>
      <c r="H20" s="281"/>
      <c r="I20" s="281"/>
      <c r="J20" s="281"/>
      <c r="K20" s="281"/>
      <c r="L20" s="281"/>
      <c r="M20" s="281"/>
      <c r="N20" s="281"/>
      <c r="O20" s="281"/>
      <c r="P20" s="281"/>
    </row>
    <row r="21" ht="11.25" customHeight="1">
      <c r="A21" s="281"/>
      <c r="B21" s="281"/>
      <c r="C21" s="281"/>
      <c r="D21" s="281"/>
      <c r="E21" s="281"/>
      <c r="F21" s="281"/>
      <c r="G21" s="281"/>
      <c r="H21" s="281"/>
      <c r="I21" s="281"/>
      <c r="J21" s="281"/>
      <c r="K21" s="281"/>
      <c r="L21" s="281"/>
      <c r="M21" s="281"/>
      <c r="N21" s="281"/>
      <c r="O21" s="281"/>
      <c r="P21" s="281"/>
    </row>
    <row r="22" ht="11.25" customHeight="1">
      <c r="A22" s="281"/>
      <c r="B22" s="281"/>
      <c r="C22" s="281"/>
      <c r="D22" s="281"/>
      <c r="E22" s="281"/>
      <c r="F22" s="281"/>
      <c r="G22" s="281"/>
      <c r="H22" s="281"/>
      <c r="I22" s="281"/>
      <c r="J22" s="281"/>
      <c r="K22" s="281"/>
      <c r="L22" s="281"/>
      <c r="M22" s="281"/>
      <c r="N22" s="281"/>
      <c r="O22" s="281"/>
      <c r="P22" s="281"/>
    </row>
    <row r="23" ht="11.25" customHeight="1">
      <c r="A23" s="281"/>
      <c r="B23" s="281"/>
      <c r="C23" s="281"/>
      <c r="D23" s="281"/>
      <c r="E23" s="281"/>
      <c r="F23" s="281"/>
      <c r="G23" s="281"/>
      <c r="H23" s="281"/>
      <c r="I23" s="281"/>
      <c r="J23" s="281"/>
      <c r="K23" s="281"/>
      <c r="L23" s="281"/>
      <c r="M23" s="281"/>
      <c r="N23" s="281"/>
      <c r="O23" s="281"/>
      <c r="P23" s="281"/>
    </row>
    <row r="24" ht="11.25" customHeight="1">
      <c r="A24" s="281"/>
      <c r="B24" s="281"/>
      <c r="C24" s="281"/>
      <c r="D24" s="281"/>
      <c r="E24" s="281"/>
      <c r="F24" s="281"/>
      <c r="G24" s="281"/>
      <c r="H24" s="281"/>
      <c r="I24" s="281"/>
      <c r="J24" s="281"/>
      <c r="K24" s="281"/>
      <c r="L24" s="281"/>
      <c r="M24" s="281"/>
      <c r="N24" s="281"/>
      <c r="O24" s="281"/>
      <c r="P24" s="281"/>
    </row>
    <row r="25" ht="11.25" customHeight="1">
      <c r="A25" s="281"/>
      <c r="B25" s="281"/>
      <c r="C25" s="281"/>
      <c r="D25" s="281"/>
      <c r="E25" s="281"/>
      <c r="F25" s="281"/>
      <c r="G25" s="281"/>
      <c r="H25" s="281"/>
      <c r="I25" s="281"/>
      <c r="J25" s="281"/>
      <c r="K25" s="281"/>
      <c r="L25" s="281"/>
      <c r="M25" s="281"/>
      <c r="N25" s="281"/>
      <c r="O25" s="281"/>
      <c r="P25" s="281"/>
    </row>
    <row r="26" ht="11.25" customHeight="1">
      <c r="A26" s="281"/>
      <c r="B26" s="281"/>
      <c r="C26" s="281"/>
      <c r="D26" s="281"/>
      <c r="E26" s="281"/>
      <c r="F26" s="281"/>
      <c r="G26" s="281"/>
      <c r="H26" s="281"/>
      <c r="I26" s="281"/>
      <c r="J26" s="281"/>
      <c r="K26" s="281"/>
      <c r="L26" s="281"/>
      <c r="M26" s="281"/>
      <c r="N26" s="281"/>
      <c r="O26" s="281"/>
      <c r="P26" s="281"/>
    </row>
    <row r="27" ht="11.25" customHeight="1">
      <c r="A27" s="281"/>
      <c r="B27" s="281"/>
      <c r="C27" s="281"/>
      <c r="D27" s="281"/>
      <c r="E27" s="281"/>
      <c r="F27" s="281"/>
      <c r="G27" s="281"/>
      <c r="H27" s="281"/>
      <c r="I27" s="281"/>
      <c r="J27" s="281"/>
      <c r="K27" s="281"/>
      <c r="L27" s="281"/>
      <c r="M27" s="281"/>
      <c r="N27" s="281"/>
      <c r="O27" s="281"/>
      <c r="P27" s="281"/>
    </row>
    <row r="28" ht="11.25" customHeight="1">
      <c r="A28" s="281"/>
      <c r="B28" s="281"/>
      <c r="C28" s="281"/>
      <c r="D28" s="281"/>
      <c r="E28" s="281"/>
      <c r="F28" s="281"/>
      <c r="G28" s="281"/>
      <c r="H28" s="281"/>
      <c r="I28" s="281"/>
      <c r="J28" s="281"/>
      <c r="K28" s="281"/>
      <c r="L28" s="281"/>
      <c r="M28" s="281"/>
      <c r="N28" s="281"/>
      <c r="O28" s="281"/>
      <c r="P28" s="281"/>
    </row>
    <row r="29" ht="11.25" customHeight="1">
      <c r="A29" s="281"/>
      <c r="B29" s="281"/>
      <c r="C29" s="281"/>
      <c r="D29" s="281"/>
      <c r="E29" s="281"/>
      <c r="F29" s="281"/>
      <c r="G29" s="281"/>
      <c r="H29" s="281"/>
      <c r="I29" s="281"/>
      <c r="J29" s="281"/>
      <c r="K29" s="281"/>
      <c r="L29" s="281"/>
      <c r="M29" s="281"/>
      <c r="N29" s="281"/>
      <c r="O29" s="281"/>
      <c r="P29" s="281"/>
    </row>
    <row r="30" ht="11.25" customHeight="1">
      <c r="A30" s="281"/>
      <c r="B30" s="281"/>
      <c r="C30" s="281"/>
      <c r="D30" s="281"/>
      <c r="E30" s="281"/>
      <c r="F30" s="281"/>
      <c r="G30" s="281"/>
      <c r="H30" s="281"/>
      <c r="I30" s="281"/>
      <c r="J30" s="281"/>
      <c r="K30" s="281"/>
      <c r="L30" s="281"/>
      <c r="M30" s="281"/>
      <c r="N30" s="281"/>
      <c r="O30" s="281"/>
      <c r="P30" s="281"/>
    </row>
    <row r="31" ht="11.25" customHeight="1">
      <c r="A31" s="281"/>
      <c r="B31" s="281"/>
      <c r="C31" s="281"/>
      <c r="D31" s="281"/>
      <c r="E31" s="281"/>
      <c r="F31" s="281"/>
      <c r="G31" s="281"/>
      <c r="H31" s="281"/>
      <c r="I31" s="281"/>
      <c r="J31" s="281"/>
      <c r="K31" s="281"/>
      <c r="L31" s="281"/>
      <c r="M31" s="281"/>
      <c r="N31" s="281"/>
      <c r="O31" s="281"/>
      <c r="P31" s="281"/>
    </row>
    <row r="32" ht="11.25" customHeight="1">
      <c r="A32" s="281"/>
      <c r="B32" s="281"/>
      <c r="C32" s="281"/>
      <c r="D32" s="281"/>
      <c r="E32" s="281"/>
      <c r="F32" s="281"/>
      <c r="G32" s="281"/>
      <c r="H32" s="281"/>
      <c r="I32" s="281"/>
      <c r="J32" s="281"/>
      <c r="K32" s="281"/>
      <c r="L32" s="281"/>
      <c r="M32" s="281"/>
      <c r="N32" s="281"/>
      <c r="O32" s="281"/>
      <c r="P32" s="281"/>
    </row>
    <row r="33" ht="11.25" customHeight="1">
      <c r="A33" s="281"/>
      <c r="B33" s="281"/>
      <c r="C33" s="281"/>
      <c r="D33" s="281"/>
      <c r="E33" s="281"/>
      <c r="F33" s="281"/>
      <c r="G33" s="281"/>
      <c r="H33" s="281"/>
      <c r="I33" s="281"/>
      <c r="J33" s="281"/>
      <c r="K33" s="281"/>
      <c r="L33" s="281"/>
      <c r="M33" s="281"/>
      <c r="N33" s="281"/>
      <c r="O33" s="281"/>
      <c r="P33" s="281"/>
    </row>
    <row r="34" ht="11.25" customHeight="1">
      <c r="A34" s="281"/>
      <c r="B34" s="281"/>
      <c r="C34" s="281"/>
      <c r="D34" s="281"/>
      <c r="E34" s="281"/>
      <c r="F34" s="281"/>
      <c r="G34" s="281"/>
      <c r="H34" s="281"/>
      <c r="I34" s="281"/>
      <c r="J34" s="281"/>
      <c r="K34" s="281"/>
      <c r="L34" s="281"/>
      <c r="M34" s="281"/>
      <c r="N34" s="281"/>
      <c r="O34" s="281"/>
      <c r="P34" s="281"/>
    </row>
    <row r="35" ht="11.25" customHeight="1">
      <c r="A35" s="281"/>
      <c r="B35" s="281"/>
      <c r="C35" s="281"/>
      <c r="D35" s="281"/>
      <c r="E35" s="281"/>
      <c r="F35" s="281"/>
      <c r="G35" s="281"/>
      <c r="H35" s="281"/>
      <c r="I35" s="281"/>
      <c r="J35" s="281"/>
      <c r="K35" s="281"/>
      <c r="L35" s="281"/>
      <c r="M35" s="281"/>
      <c r="N35" s="281"/>
      <c r="O35" s="281"/>
      <c r="P35" s="281"/>
    </row>
    <row r="36" ht="11.25" customHeight="1">
      <c r="A36" s="281"/>
      <c r="B36" s="281"/>
      <c r="C36" s="281"/>
      <c r="D36" s="281"/>
      <c r="E36" s="281"/>
      <c r="F36" s="281"/>
      <c r="G36" s="281"/>
      <c r="H36" s="281"/>
      <c r="I36" s="281"/>
      <c r="J36" s="281"/>
      <c r="K36" s="281"/>
      <c r="L36" s="281"/>
      <c r="M36" s="281"/>
      <c r="N36" s="281"/>
      <c r="O36" s="281"/>
      <c r="P36" s="281"/>
    </row>
    <row r="37" ht="11.25" customHeight="1">
      <c r="A37" s="281"/>
      <c r="B37" s="281"/>
      <c r="C37" s="281"/>
      <c r="D37" s="281"/>
      <c r="E37" s="281"/>
      <c r="F37" s="281"/>
      <c r="G37" s="281"/>
      <c r="H37" s="281"/>
      <c r="I37" s="281"/>
      <c r="J37" s="281"/>
      <c r="K37" s="281"/>
      <c r="L37" s="281"/>
      <c r="M37" s="281"/>
      <c r="N37" s="281"/>
      <c r="O37" s="281"/>
      <c r="P37" s="281"/>
    </row>
    <row r="38" ht="11.25" customHeight="1">
      <c r="A38" s="281"/>
      <c r="B38" s="281"/>
      <c r="C38" s="281"/>
      <c r="D38" s="281"/>
      <c r="E38" s="281"/>
      <c r="F38" s="281"/>
      <c r="G38" s="281"/>
      <c r="H38" s="281"/>
      <c r="I38" s="281"/>
      <c r="J38" s="281"/>
      <c r="K38" s="281"/>
      <c r="L38" s="281"/>
      <c r="M38" s="281"/>
      <c r="N38" s="281"/>
      <c r="O38" s="281"/>
      <c r="P38" s="281"/>
    </row>
    <row r="39" ht="11.25" customHeight="1">
      <c r="A39" s="281"/>
      <c r="B39" s="281"/>
      <c r="C39" s="281"/>
      <c r="D39" s="281"/>
      <c r="E39" s="281"/>
      <c r="F39" s="281"/>
      <c r="G39" s="281"/>
      <c r="H39" s="281"/>
      <c r="I39" s="281"/>
      <c r="J39" s="281"/>
      <c r="K39" s="281"/>
      <c r="L39" s="281"/>
      <c r="M39" s="281"/>
      <c r="N39" s="281"/>
      <c r="O39" s="281"/>
      <c r="P39" s="281"/>
    </row>
    <row r="40" ht="11.25" customHeight="1">
      <c r="A40" s="281"/>
      <c r="B40" s="281"/>
      <c r="C40" s="281"/>
      <c r="D40" s="281"/>
      <c r="E40" s="281"/>
      <c r="F40" s="281"/>
      <c r="G40" s="281"/>
      <c r="H40" s="281"/>
      <c r="I40" s="281"/>
      <c r="J40" s="281"/>
      <c r="K40" s="281"/>
      <c r="L40" s="281"/>
      <c r="M40" s="281"/>
      <c r="N40" s="281"/>
      <c r="O40" s="281"/>
      <c r="P40" s="281"/>
    </row>
    <row r="41" ht="11.25" customHeight="1">
      <c r="A41" s="281"/>
      <c r="B41" s="281"/>
      <c r="C41" s="281"/>
      <c r="D41" s="281"/>
      <c r="E41" s="281"/>
      <c r="F41" s="281"/>
      <c r="G41" s="281"/>
      <c r="H41" s="281"/>
      <c r="I41" s="281"/>
      <c r="J41" s="281"/>
      <c r="K41" s="281"/>
      <c r="L41" s="281"/>
      <c r="M41" s="281"/>
      <c r="N41" s="281"/>
      <c r="O41" s="281"/>
      <c r="P41" s="281"/>
    </row>
    <row r="42" ht="11.25" customHeight="1">
      <c r="A42" s="281"/>
      <c r="B42" s="281"/>
      <c r="C42" s="281"/>
      <c r="D42" s="281"/>
      <c r="E42" s="281"/>
      <c r="F42" s="281"/>
      <c r="G42" s="281"/>
      <c r="H42" s="281"/>
      <c r="I42" s="281"/>
      <c r="J42" s="281"/>
      <c r="K42" s="281"/>
      <c r="L42" s="281"/>
      <c r="M42" s="281"/>
      <c r="N42" s="281"/>
      <c r="O42" s="281"/>
      <c r="P42" s="281"/>
    </row>
    <row r="43" collapsed="1">
      <c r="A43" s="293" t="s">
        <v>106</v>
      </c>
      <c r="B43" s="294"/>
      <c r="C43" s="294"/>
      <c r="D43" s="294"/>
      <c r="E43" s="294"/>
      <c r="F43" s="294"/>
      <c r="G43" s="294"/>
      <c r="H43" s="294"/>
      <c r="I43" s="294"/>
      <c r="J43" s="294"/>
      <c r="K43" s="294"/>
      <c r="L43" s="294"/>
      <c r="M43" s="294"/>
      <c r="N43" s="294"/>
      <c r="O43" s="294"/>
      <c r="P43" s="294"/>
    </row>
    <row r="44" hidden="1" outlineLevel="1">
      <c r="B44" s="295" t="s">
        <v>107</v>
      </c>
    </row>
    <row r="45" hidden="1" outlineLevel="1">
      <c r="B45" s="295" t="s">
        <v>47</v>
      </c>
      <c r="C45" s="296">
        <f>Summary!G18/1000</f>
        <v>11935</v>
      </c>
    </row>
    <row r="46" hidden="1" outlineLevel="1">
      <c r="B46" s="297" t="str">
        <f>Summary!B19</f>
        <v>New ARR</v>
      </c>
      <c r="C46" s="296">
        <f>sum(Summary!G19:K19)/1000</f>
        <v>29774.23554</v>
      </c>
    </row>
    <row r="47" hidden="1" outlineLevel="1">
      <c r="B47" s="297" t="str">
        <f>Summary!B20</f>
        <v>Expansion</v>
      </c>
      <c r="C47" s="296">
        <f>sum(Summary!G20:K20)/1000</f>
        <v>11705.91313</v>
      </c>
    </row>
    <row r="48" hidden="1" outlineLevel="1">
      <c r="B48" s="297" t="str">
        <f>Summary!B21</f>
        <v>Churn ARR</v>
      </c>
      <c r="C48" s="296">
        <f>sum(Summary!G21:K21)/1000</f>
        <v>-10205.36528</v>
      </c>
    </row>
    <row r="49" hidden="1" outlineLevel="1">
      <c r="B49" s="297" t="str">
        <f>Summary!B23</f>
        <v/>
      </c>
    </row>
    <row r="50" hidden="1" outlineLevel="1">
      <c r="B50" s="263"/>
      <c r="C50" s="298" t="str">
        <f t="shared" ref="C50:G50" si="1">D4</f>
        <v>FY22</v>
      </c>
      <c r="D50" s="298" t="str">
        <f t="shared" si="1"/>
        <v>FY23</v>
      </c>
      <c r="E50" s="298" t="str">
        <f t="shared" si="1"/>
        <v>FY24</v>
      </c>
      <c r="F50" s="298" t="str">
        <f t="shared" si="1"/>
        <v>FY25</v>
      </c>
      <c r="G50" s="298" t="str">
        <f t="shared" si="1"/>
        <v>FY26</v>
      </c>
    </row>
    <row r="51" hidden="1" outlineLevel="1">
      <c r="B51" s="299" t="s">
        <v>83</v>
      </c>
      <c r="C51" s="300">
        <f>Summary!G41</f>
        <v>0.746835443</v>
      </c>
      <c r="D51" s="300">
        <f>Summary!H41</f>
        <v>0.7118695839</v>
      </c>
      <c r="E51" s="300">
        <f>Summary!I41</f>
        <v>0.712405718</v>
      </c>
      <c r="F51" s="300">
        <f>Summary!J41</f>
        <v>0.7131488139</v>
      </c>
      <c r="G51" s="300">
        <f>Summary!K41</f>
        <v>0.7131362502</v>
      </c>
    </row>
    <row r="52" hidden="1" outlineLevel="1">
      <c r="B52" s="299" t="s">
        <v>108</v>
      </c>
      <c r="C52" s="300">
        <f>Summary!G42</f>
        <v>0.7366</v>
      </c>
      <c r="D52" s="300">
        <f>Summary!H42</f>
        <v>0.7465</v>
      </c>
      <c r="E52" s="300">
        <f>Summary!I42</f>
        <v>0.8729</v>
      </c>
      <c r="F52" s="300">
        <f>Summary!J42</f>
        <v>0.89</v>
      </c>
      <c r="G52" s="300">
        <f>Summary!K42</f>
        <v>0.9</v>
      </c>
    </row>
    <row r="53" hidden="1" outlineLevel="1">
      <c r="B53" s="299" t="s">
        <v>109</v>
      </c>
      <c r="C53" s="300">
        <f>Summary!G43</f>
        <v>1.520828246</v>
      </c>
      <c r="D53" s="300">
        <f>Summary!H43</f>
        <v>1.766320873</v>
      </c>
      <c r="E53" s="300">
        <f>Summary!I43</f>
        <v>1.2</v>
      </c>
      <c r="F53" s="300">
        <f>Summary!J43</f>
        <v>1.15</v>
      </c>
      <c r="G53" s="300">
        <f>Summary!K43</f>
        <v>1.21</v>
      </c>
    </row>
    <row r="54" hidden="1" outlineLevel="1"/>
    <row r="55" hidden="1" outlineLevel="1">
      <c r="C55" s="298" t="str">
        <f t="shared" ref="C55:G55" si="2">C50</f>
        <v>FY22</v>
      </c>
      <c r="D55" s="298" t="str">
        <f t="shared" si="2"/>
        <v>FY23</v>
      </c>
      <c r="E55" s="298" t="str">
        <f t="shared" si="2"/>
        <v>FY24</v>
      </c>
      <c r="F55" s="298" t="str">
        <f t="shared" si="2"/>
        <v>FY25</v>
      </c>
      <c r="G55" s="298" t="str">
        <f t="shared" si="2"/>
        <v>FY26</v>
      </c>
    </row>
    <row r="56" hidden="1" outlineLevel="1">
      <c r="B56" s="297" t="str">
        <f>Summary!B47</f>
        <v>LTV</v>
      </c>
      <c r="C56" s="301">
        <f>Summary!G47</f>
        <v>1021595.785</v>
      </c>
      <c r="D56" s="301">
        <f>Summary!H47</f>
        <v>1010950.152</v>
      </c>
      <c r="E56" s="301">
        <f>Summary!I47</f>
        <v>1140714.302</v>
      </c>
      <c r="F56" s="301">
        <f>Summary!J47</f>
        <v>1145057.499</v>
      </c>
      <c r="G56" s="301">
        <f>Summary!K47</f>
        <v>1144996.743</v>
      </c>
    </row>
    <row r="57" hidden="1" outlineLevel="1">
      <c r="B57" s="297" t="str">
        <f>Summary!B48</f>
        <v>CAC</v>
      </c>
      <c r="C57" s="301">
        <f>Summary!G48</f>
        <v>359046.2153</v>
      </c>
      <c r="D57" s="301">
        <f>Summary!H48</f>
        <v>369780.865</v>
      </c>
      <c r="E57" s="301">
        <f>Summary!I48</f>
        <v>382869.9663</v>
      </c>
      <c r="F57" s="301">
        <f>Summary!J48</f>
        <v>390289.4089</v>
      </c>
      <c r="G57" s="301">
        <f>Summary!K48</f>
        <v>394998.727</v>
      </c>
    </row>
    <row r="58" hidden="1" outlineLevel="1">
      <c r="B58" s="297" t="str">
        <f>Summary!B49</f>
        <v>LTV:CAC</v>
      </c>
      <c r="C58" s="302">
        <f>Summary!G49</f>
        <v>2.845304424</v>
      </c>
      <c r="D58" s="302">
        <f>Summary!H49</f>
        <v>2.733916889</v>
      </c>
      <c r="E58" s="302">
        <f>Summary!I49</f>
        <v>2.979377862</v>
      </c>
      <c r="F58" s="302">
        <f>Summary!J49</f>
        <v>2.933867722</v>
      </c>
      <c r="G58" s="302">
        <f>Summary!K49</f>
        <v>2.898735274</v>
      </c>
    </row>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sheetData>
  <drawing r:id="rId1"/>
</worksheet>
</file>